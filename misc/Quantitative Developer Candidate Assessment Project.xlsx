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taylor/yields-app/"/>
    </mc:Choice>
  </mc:AlternateContent>
  <xr:revisionPtr revIDLastSave="0" documentId="13_ncr:1_{9B56CC80-EB97-974C-88C6-9396AAB47F2D}" xr6:coauthVersionLast="47" xr6:coauthVersionMax="47" xr10:uidLastSave="{00000000-0000-0000-0000-000000000000}"/>
  <bookViews>
    <workbookView xWindow="0" yWindow="0" windowWidth="28800" windowHeight="18000" xr2:uid="{C05E5427-5532-493C-A6F8-A41E0E77A2E1}"/>
  </bookViews>
  <sheets>
    <sheet name="Treasury Example (No Math)" sheetId="3" r:id="rId1"/>
    <sheet name="Treasury Example (with Math)" sheetId="2" r:id="rId2"/>
    <sheet name="Match Index" sheetId="5" r:id="rId3"/>
    <sheet name="Sheet1" sheetId="4" r:id="rId4"/>
    <sheet name="Python sample" sheetId="6" r:id="rId5"/>
  </sheets>
  <definedNames>
    <definedName name="_xlnm._FilterDatabase" localSheetId="0" hidden="1">'Treasury Example (No Math)'!$B$6:$E$6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5" l="1"/>
  <c r="D10" i="5"/>
  <c r="D9" i="5"/>
  <c r="E5" i="5"/>
  <c r="E6" i="5"/>
  <c r="F3" i="4" a="1"/>
  <c r="F3" i="4" s="1"/>
  <c r="E4" i="4"/>
  <c r="C3" i="4"/>
  <c r="A10" i="4"/>
  <c r="F19" i="2"/>
  <c r="F20" i="2"/>
  <c r="F21" i="2"/>
  <c r="F22" i="2"/>
  <c r="F23" i="2"/>
  <c r="M57" i="2"/>
  <c r="N57" i="2" s="1"/>
  <c r="M33" i="2"/>
  <c r="N33" i="2" s="1"/>
  <c r="O33" i="2" s="1"/>
  <c r="K33" i="2"/>
  <c r="U2" i="2" s="1"/>
  <c r="E22" i="2"/>
  <c r="E19" i="2"/>
  <c r="D19" i="2" s="1"/>
  <c r="M3" i="2"/>
  <c r="N3" i="2" s="1"/>
  <c r="O3" i="2" s="1"/>
  <c r="K3" i="2"/>
  <c r="K57" i="2"/>
  <c r="V2" i="2" s="1"/>
  <c r="V10" i="2" s="1"/>
  <c r="K21" i="2"/>
  <c r="T2" i="2" s="1"/>
  <c r="C21" i="2" s="1"/>
  <c r="K9" i="2"/>
  <c r="C9" i="3"/>
  <c r="B9" i="3" s="1"/>
  <c r="C8" i="3"/>
  <c r="B8" i="3" s="1"/>
  <c r="C7" i="3"/>
  <c r="B14" i="3"/>
  <c r="B15" i="3"/>
  <c r="B11" i="3"/>
  <c r="B17" i="3"/>
  <c r="B16" i="3"/>
  <c r="B7" i="3"/>
  <c r="B12" i="3"/>
  <c r="B10" i="3"/>
  <c r="B13" i="3"/>
  <c r="E20" i="2"/>
  <c r="E23" i="2"/>
  <c r="Q7" i="2"/>
  <c r="Q8" i="2" s="1"/>
  <c r="E21" i="2"/>
  <c r="M21" i="2"/>
  <c r="N21" i="2" s="1"/>
  <c r="O21" i="2" s="1"/>
  <c r="M9" i="2"/>
  <c r="L9" i="2" s="1"/>
  <c r="J10" i="2"/>
  <c r="J11" i="2" s="1"/>
  <c r="J12" i="2" s="1"/>
  <c r="J13" i="2" s="1"/>
  <c r="J14" i="2" s="1"/>
  <c r="J15" i="2" s="1"/>
  <c r="G6" i="6" a="1"/>
  <c r="G3" i="6" a="1"/>
  <c r="R2" i="2" l="1"/>
  <c r="R6" i="2" s="1"/>
  <c r="W6" i="2" s="1"/>
  <c r="S2" i="2"/>
  <c r="S7" i="2" s="1"/>
  <c r="X7" i="2" s="1"/>
  <c r="G6" i="6"/>
  <c r="G3" i="6"/>
  <c r="U11" i="2"/>
  <c r="C22" i="2"/>
  <c r="G23" i="2"/>
  <c r="G20" i="2"/>
  <c r="G22" i="2"/>
  <c r="L33" i="2"/>
  <c r="L3" i="2"/>
  <c r="G28" i="2"/>
  <c r="O43" i="2" s="1"/>
  <c r="G19" i="2"/>
  <c r="G25" i="2" s="1"/>
  <c r="O8" i="2" s="1"/>
  <c r="D22" i="2"/>
  <c r="C23" i="2"/>
  <c r="C19" i="2"/>
  <c r="U6" i="2"/>
  <c r="Z6" i="2" s="1"/>
  <c r="U7" i="2"/>
  <c r="Z7" i="2" s="1"/>
  <c r="U8" i="2"/>
  <c r="U9" i="2"/>
  <c r="Z9" i="2" s="1"/>
  <c r="U10" i="2"/>
  <c r="T9" i="2"/>
  <c r="Y9" i="2" s="1"/>
  <c r="T8" i="2"/>
  <c r="T7" i="2"/>
  <c r="Y7" i="2" s="1"/>
  <c r="T6" i="2"/>
  <c r="Y6" i="2" s="1"/>
  <c r="V12" i="2"/>
  <c r="V6" i="2"/>
  <c r="AA6" i="2" s="1"/>
  <c r="V8" i="2"/>
  <c r="V13" i="2"/>
  <c r="V7" i="2"/>
  <c r="AA7" i="2" s="1"/>
  <c r="V11" i="2"/>
  <c r="V14" i="2"/>
  <c r="V9" i="2"/>
  <c r="AA9" i="2" s="1"/>
  <c r="V15" i="2"/>
  <c r="D20" i="2"/>
  <c r="D23" i="2"/>
  <c r="D21" i="2"/>
  <c r="Q9" i="2"/>
  <c r="N9" i="2"/>
  <c r="O9" i="2" s="1"/>
  <c r="J16" i="2"/>
  <c r="C20" i="2" l="1"/>
  <c r="S6" i="2"/>
  <c r="X6" i="2" s="1"/>
  <c r="X18" i="2" s="1"/>
  <c r="O47" i="2"/>
  <c r="O48" i="2"/>
  <c r="O35" i="2"/>
  <c r="O44" i="2"/>
  <c r="O46" i="2"/>
  <c r="O52" i="2"/>
  <c r="O40" i="2"/>
  <c r="O36" i="2"/>
  <c r="O49" i="2"/>
  <c r="O53" i="2"/>
  <c r="O45" i="2"/>
  <c r="O34" i="2"/>
  <c r="O37" i="2"/>
  <c r="O41" i="2"/>
  <c r="O50" i="2"/>
  <c r="O54" i="2"/>
  <c r="O57" i="2"/>
  <c r="O38" i="2"/>
  <c r="O42" i="2"/>
  <c r="O56" i="2"/>
  <c r="O51" i="2"/>
  <c r="O55" i="2"/>
  <c r="O39" i="2"/>
  <c r="W18" i="2"/>
  <c r="O4" i="2"/>
  <c r="O5" i="2"/>
  <c r="O6" i="2"/>
  <c r="O7" i="2"/>
  <c r="Q10" i="2"/>
  <c r="G21" i="2"/>
  <c r="J17" i="2"/>
  <c r="G26" i="2" l="1"/>
  <c r="O14" i="2" s="1"/>
  <c r="N14" i="2" s="1"/>
  <c r="M14" i="2" s="1"/>
  <c r="L14" i="2" s="1"/>
  <c r="G27" i="2"/>
  <c r="N8" i="2"/>
  <c r="M8" i="2" s="1"/>
  <c r="L8" i="2" s="1"/>
  <c r="N7" i="2"/>
  <c r="M7" i="2" s="1"/>
  <c r="L7" i="2" s="1"/>
  <c r="N6" i="2"/>
  <c r="M6" i="2" s="1"/>
  <c r="L6" i="2" s="1"/>
  <c r="N5" i="2"/>
  <c r="M5" i="2" s="1"/>
  <c r="L5" i="2" s="1"/>
  <c r="N4" i="2"/>
  <c r="M4" i="2" s="1"/>
  <c r="L4" i="2" s="1"/>
  <c r="Q11" i="2"/>
  <c r="J18" i="2"/>
  <c r="O12" i="2"/>
  <c r="N12" i="2" s="1"/>
  <c r="M12" i="2" s="1"/>
  <c r="L12" i="2" s="1"/>
  <c r="O17" i="2" l="1"/>
  <c r="N17" i="2" s="1"/>
  <c r="M17" i="2" s="1"/>
  <c r="L17" i="2" s="1"/>
  <c r="O16" i="2"/>
  <c r="N16" i="2" s="1"/>
  <c r="M16" i="2" s="1"/>
  <c r="L16" i="2" s="1"/>
  <c r="O15" i="2"/>
  <c r="N15" i="2" s="1"/>
  <c r="M15" i="2" s="1"/>
  <c r="Y8" i="2" s="1"/>
  <c r="Y18" i="2" s="1"/>
  <c r="O10" i="2"/>
  <c r="N10" i="2" s="1"/>
  <c r="M10" i="2" s="1"/>
  <c r="L10" i="2" s="1"/>
  <c r="O13" i="2"/>
  <c r="N13" i="2" s="1"/>
  <c r="M13" i="2" s="1"/>
  <c r="L13" i="2" s="1"/>
  <c r="O11" i="2"/>
  <c r="N11" i="2" s="1"/>
  <c r="M11" i="2" s="1"/>
  <c r="L11" i="2" s="1"/>
  <c r="O23" i="2"/>
  <c r="O24" i="2"/>
  <c r="O25" i="2"/>
  <c r="O26" i="2"/>
  <c r="O30" i="2"/>
  <c r="O22" i="2"/>
  <c r="O27" i="2"/>
  <c r="O28" i="2"/>
  <c r="O29" i="2"/>
  <c r="O31" i="2"/>
  <c r="O32" i="2"/>
  <c r="Q12" i="2"/>
  <c r="O18" i="2"/>
  <c r="N18" i="2" s="1"/>
  <c r="M18" i="2" s="1"/>
  <c r="L18" i="2" s="1"/>
  <c r="J19" i="2"/>
  <c r="AA8" i="2" l="1"/>
  <c r="L15" i="2"/>
  <c r="Z8" i="2"/>
  <c r="Q13" i="2"/>
  <c r="O19" i="2"/>
  <c r="N19" i="2" s="1"/>
  <c r="M19" i="2" s="1"/>
  <c r="L19" i="2" s="1"/>
  <c r="J20" i="2"/>
  <c r="O20" i="2" l="1"/>
  <c r="N20" i="2" s="1"/>
  <c r="M20" i="2" s="1"/>
  <c r="L20" i="2" s="1"/>
  <c r="J21" i="2"/>
  <c r="Q14" i="2"/>
  <c r="J22" i="2" l="1"/>
  <c r="J23" i="2" s="1"/>
  <c r="J24" i="2" s="1"/>
  <c r="J25" i="2" s="1"/>
  <c r="J26" i="2" s="1"/>
  <c r="J27" i="2" s="1"/>
  <c r="J28" i="2" s="1"/>
  <c r="J29" i="2" s="1"/>
  <c r="J30" i="2" s="1"/>
  <c r="J31" i="2" s="1"/>
  <c r="J32" i="2" s="1"/>
  <c r="J33" i="2" s="1"/>
  <c r="J34" i="2" s="1"/>
  <c r="Q15" i="2"/>
  <c r="J35" i="2" l="1"/>
  <c r="J36" i="2" s="1"/>
  <c r="J37" i="2" s="1"/>
  <c r="J38" i="2" s="1"/>
  <c r="J39" i="2" s="1"/>
  <c r="J40" i="2" s="1"/>
  <c r="J41" i="2" s="1"/>
  <c r="J42" i="2" s="1"/>
  <c r="J43" i="2" s="1"/>
  <c r="J44" i="2" s="1"/>
  <c r="J45" i="2" s="1"/>
  <c r="J46" i="2" s="1"/>
  <c r="J47" i="2" s="1"/>
  <c r="J48" i="2" s="1"/>
  <c r="J49" i="2" s="1"/>
  <c r="J50" i="2" s="1"/>
  <c r="J51" i="2" s="1"/>
  <c r="J52" i="2" s="1"/>
  <c r="J53" i="2" s="1"/>
  <c r="J54" i="2" s="1"/>
  <c r="J55" i="2" s="1"/>
  <c r="J56" i="2" s="1"/>
  <c r="J57" i="2" s="1"/>
  <c r="N42" i="2"/>
  <c r="M42" i="2" s="1"/>
  <c r="L42" i="2" s="1"/>
  <c r="N32" i="2"/>
  <c r="M32" i="2" s="1"/>
  <c r="L32" i="2" s="1"/>
  <c r="N44" i="2"/>
  <c r="M44" i="2" s="1"/>
  <c r="L44" i="2" s="1"/>
  <c r="N56" i="2"/>
  <c r="M56" i="2" s="1"/>
  <c r="L56" i="2" s="1"/>
  <c r="N45" i="2"/>
  <c r="M45" i="2" s="1"/>
  <c r="L45" i="2" s="1"/>
  <c r="L57" i="2"/>
  <c r="N34" i="2"/>
  <c r="M34" i="2" s="1"/>
  <c r="L34" i="2" s="1"/>
  <c r="N46" i="2"/>
  <c r="M46" i="2" s="1"/>
  <c r="L46" i="2" s="1"/>
  <c r="N22" i="2"/>
  <c r="M22" i="2" s="1"/>
  <c r="L22" i="2" s="1"/>
  <c r="N23" i="2"/>
  <c r="M23" i="2" s="1"/>
  <c r="L23" i="2" s="1"/>
  <c r="N35" i="2"/>
  <c r="M35" i="2" s="1"/>
  <c r="L35" i="2" s="1"/>
  <c r="N47" i="2"/>
  <c r="M47" i="2" s="1"/>
  <c r="L47" i="2" s="1"/>
  <c r="N24" i="2"/>
  <c r="M24" i="2" s="1"/>
  <c r="L24" i="2" s="1"/>
  <c r="N36" i="2"/>
  <c r="M36" i="2" s="1"/>
  <c r="L36" i="2" s="1"/>
  <c r="N48" i="2"/>
  <c r="M48" i="2" s="1"/>
  <c r="L48" i="2" s="1"/>
  <c r="N25" i="2"/>
  <c r="M25" i="2" s="1"/>
  <c r="L25" i="2" s="1"/>
  <c r="N37" i="2"/>
  <c r="M37" i="2" s="1"/>
  <c r="L37" i="2" s="1"/>
  <c r="N49" i="2"/>
  <c r="M49" i="2" s="1"/>
  <c r="L49" i="2" s="1"/>
  <c r="N26" i="2"/>
  <c r="M26" i="2" s="1"/>
  <c r="L26" i="2" s="1"/>
  <c r="N38" i="2"/>
  <c r="M38" i="2" s="1"/>
  <c r="L38" i="2" s="1"/>
  <c r="N50" i="2"/>
  <c r="M50" i="2" s="1"/>
  <c r="L50" i="2" s="1"/>
  <c r="N27" i="2"/>
  <c r="M27" i="2" s="1"/>
  <c r="N39" i="2"/>
  <c r="M39" i="2" s="1"/>
  <c r="L39" i="2" s="1"/>
  <c r="N51" i="2"/>
  <c r="M51" i="2" s="1"/>
  <c r="L51" i="2" s="1"/>
  <c r="N28" i="2"/>
  <c r="M28" i="2" s="1"/>
  <c r="L28" i="2" s="1"/>
  <c r="N40" i="2"/>
  <c r="M40" i="2" s="1"/>
  <c r="L40" i="2" s="1"/>
  <c r="N52" i="2"/>
  <c r="M52" i="2" s="1"/>
  <c r="L52" i="2" s="1"/>
  <c r="N29" i="2"/>
  <c r="M29" i="2" s="1"/>
  <c r="L29" i="2" s="1"/>
  <c r="N41" i="2"/>
  <c r="M41" i="2" s="1"/>
  <c r="L41" i="2" s="1"/>
  <c r="N53" i="2"/>
  <c r="M53" i="2" s="1"/>
  <c r="L53" i="2" s="1"/>
  <c r="N30" i="2"/>
  <c r="M30" i="2" s="1"/>
  <c r="L30" i="2" s="1"/>
  <c r="N54" i="2"/>
  <c r="M54" i="2" s="1"/>
  <c r="L54" i="2" s="1"/>
  <c r="N31" i="2"/>
  <c r="M31" i="2" s="1"/>
  <c r="L31" i="2" s="1"/>
  <c r="N43" i="2"/>
  <c r="M43" i="2" s="1"/>
  <c r="L43" i="2" s="1"/>
  <c r="N55" i="2"/>
  <c r="M55" i="2" s="1"/>
  <c r="L55" i="2" s="1"/>
  <c r="L21" i="2"/>
  <c r="L27" i="2" l="1"/>
  <c r="AA10" i="2"/>
  <c r="Z10" i="2"/>
  <c r="AA12" i="2"/>
  <c r="AA13" i="2"/>
  <c r="AA14" i="2"/>
  <c r="AA15" i="2"/>
  <c r="AA11" i="2"/>
  <c r="Z11" i="2"/>
  <c r="Z18" i="2" l="1"/>
  <c r="AA18"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sample_df = xl(%P2%, headers=True)</code>
    </pythonScript>
    <pythonScript>
      <code>sample_df.describe()</code>
    </pythonScript>
  </pythonScripts>
</python>
</file>

<file path=xl/sharedStrings.xml><?xml version="1.0" encoding="utf-8"?>
<sst xmlns="http://schemas.openxmlformats.org/spreadsheetml/2006/main" count="636" uniqueCount="97">
  <si>
    <t>1-Yr</t>
  </si>
  <si>
    <t>2-Yr</t>
  </si>
  <si>
    <t>Payments</t>
  </si>
  <si>
    <t>Discounted</t>
  </si>
  <si>
    <t>r_12</t>
  </si>
  <si>
    <t>r_24</t>
  </si>
  <si>
    <t>Par</t>
  </si>
  <si>
    <t>Zero</t>
  </si>
  <si>
    <t>Month</t>
  </si>
  <si>
    <t>DF</t>
  </si>
  <si>
    <t>ln(DF)</t>
  </si>
  <si>
    <t>5-Yr</t>
  </si>
  <si>
    <t>Zero Rates</t>
  </si>
  <si>
    <t>Par Rates</t>
  </si>
  <si>
    <t>r_60</t>
  </si>
  <si>
    <t>Slope 12-24</t>
  </si>
  <si>
    <t>ForwardRate</t>
  </si>
  <si>
    <t>ZeroRate</t>
  </si>
  <si>
    <t>PeriodDate</t>
  </si>
  <si>
    <t>Period</t>
  </si>
  <si>
    <t>Curve</t>
  </si>
  <si>
    <t>Rate</t>
  </si>
  <si>
    <t>Name</t>
  </si>
  <si>
    <t>Year</t>
  </si>
  <si>
    <t>AsOfDate</t>
  </si>
  <si>
    <t>10YCMT</t>
  </si>
  <si>
    <t>1MCMT</t>
  </si>
  <si>
    <t>1YCMT</t>
  </si>
  <si>
    <t>2YCMT</t>
  </si>
  <si>
    <t>30YCMT</t>
  </si>
  <si>
    <t>3MCMT</t>
  </si>
  <si>
    <t>3YCMT</t>
  </si>
  <si>
    <t>5YCMT</t>
  </si>
  <si>
    <t>6MCMT</t>
  </si>
  <si>
    <t>7YCMT</t>
  </si>
  <si>
    <t>UST_1M</t>
  </si>
  <si>
    <t>20YCMT</t>
  </si>
  <si>
    <t>3-Yr</t>
  </si>
  <si>
    <t>r_36</t>
  </si>
  <si>
    <t>6-Mo</t>
  </si>
  <si>
    <t>r_6</t>
  </si>
  <si>
    <t>Slope 6-12</t>
  </si>
  <si>
    <t>Slope 36-60</t>
  </si>
  <si>
    <t>Slope 24-36</t>
  </si>
  <si>
    <r>
      <t>(</t>
    </r>
    <r>
      <rPr>
        <i/>
        <u/>
        <sz val="11"/>
        <color theme="1"/>
        <rFont val="Calibri"/>
        <family val="2"/>
      </rPr>
      <t>Note</t>
    </r>
    <r>
      <rPr>
        <i/>
        <sz val="11"/>
        <color theme="1"/>
        <rFont val="Calibri"/>
        <family val="2"/>
        <scheme val="minor"/>
      </rPr>
      <t>: These zero rates won't exactly match the computations on the next tab due to some simplifying assumptions.)</t>
    </r>
  </si>
  <si>
    <t>Date</t>
  </si>
  <si>
    <t>1 Mo</t>
  </si>
  <si>
    <t>2 Mo</t>
  </si>
  <si>
    <t>3 Mo</t>
  </si>
  <si>
    <t>4 Mo</t>
  </si>
  <si>
    <t>6 Mo</t>
  </si>
  <si>
    <t>1 Yr</t>
  </si>
  <si>
    <t>2 Yr</t>
  </si>
  <si>
    <t>3 Yr</t>
  </si>
  <si>
    <t>5 Yr</t>
  </si>
  <si>
    <t>7 Yr</t>
  </si>
  <si>
    <t>10 Yr</t>
  </si>
  <si>
    <t>20 Yr</t>
  </si>
  <si>
    <t>30 Yr</t>
  </si>
  <si>
    <t>Data</t>
  </si>
  <si>
    <t>Description</t>
  </si>
  <si>
    <t>Settlement date</t>
  </si>
  <si>
    <t>Maturity date</t>
  </si>
  <si>
    <t>Percent coupon</t>
  </si>
  <si>
    <t>Price</t>
  </si>
  <si>
    <t>Redemption value</t>
  </si>
  <si>
    <t>Frequency is semiannual (see above)</t>
  </si>
  <si>
    <t>30/360 basis (see above)</t>
  </si>
  <si>
    <t>Formula</t>
  </si>
  <si>
    <t>Description (Result)</t>
  </si>
  <si>
    <t>Result</t>
  </si>
  <si>
    <t>The yield, for the bond with the terms above (0.065 or 6.5%)</t>
  </si>
  <si>
    <t>100 </t>
  </si>
  <si>
    <t>Apples</t>
  </si>
  <si>
    <t>Lemons</t>
  </si>
  <si>
    <t>Bananas</t>
  </si>
  <si>
    <t>Pears</t>
  </si>
  <si>
    <t>Value at the intersection of the second row and second column in the range A2:B3.</t>
  </si>
  <si>
    <t>Value at the intersection of the second row and first column in the range A2:B3.</t>
  </si>
  <si>
    <t>Data attribution: Fisher,R. A.. (1988). Iris. UCI Machine Learning Repository. https://doi.org/10.24432/C56C76</t>
  </si>
  <si>
    <t>virginica</t>
  </si>
  <si>
    <t>versicolor</t>
  </si>
  <si>
    <t>setosa</t>
  </si>
  <si>
    <t>species</t>
  </si>
  <si>
    <t>petal_width</t>
  </si>
  <si>
    <t>petal_length</t>
  </si>
  <si>
    <t>sepal_width</t>
  </si>
  <si>
    <t>sepal_length</t>
  </si>
  <si>
    <t>Iris data set (as Excel table)</t>
  </si>
  <si>
    <t>Select cell G3 to see the sample Python formula.</t>
  </si>
  <si>
    <t>Select cell G6 to see the sample Python formula.</t>
  </si>
  <si>
    <r>
      <t>(</t>
    </r>
    <r>
      <rPr>
        <i/>
        <u/>
        <sz val="14"/>
        <color theme="1"/>
        <rFont val="Calibri"/>
        <family val="2"/>
        <scheme val="minor"/>
      </rPr>
      <t>Note</t>
    </r>
    <r>
      <rPr>
        <i/>
        <sz val="14"/>
        <color theme="1"/>
        <rFont val="Calibri"/>
        <family val="2"/>
        <scheme val="minor"/>
      </rPr>
      <t>: You have to use "Goal Seek" or some solver to get these all to be zeroes.)</t>
    </r>
  </si>
  <si>
    <t>INDEX($M$3:$M$57, MATCH($Q7,$J$3:$J$57,0))</t>
  </si>
  <si>
    <t>Return value in (matched location)</t>
  </si>
  <si>
    <t>Get the value from that row that's in column M, call it x</t>
  </si>
  <si>
    <t>Find where the row with "12" is in the Month column;</t>
  </si>
  <si>
    <t>The discount (1+x)^(-12)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</si>
</sst>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000%"/>
    <numFmt numFmtId="166" formatCode="_(* #,##0.00000_);_(* \(#,##0.00000\);_(* &quot;-&quot;??_);_(@_)"/>
    <numFmt numFmtId="167" formatCode="_(* #,##0.0000000_);_(* \(#,##0.0000000\);_(* &quot;-&quot;??_);_(@_)"/>
    <numFmt numFmtId="168" formatCode="0.00000"/>
    <numFmt numFmtId="169" formatCode="_(* #,##0.000_);_(* \(#,##0.000\);_(* &quot;-&quot;??_);_(@_)"/>
    <numFmt numFmtId="170" formatCode="_(* #,##0.0000_);_(* \(#,##0.0000\);_(* &quot;-&quot;??_);_(@_)"/>
    <numFmt numFmtId="171" formatCode="0.0000"/>
  </numFmts>
  <fonts count="11"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i/>
      <u/>
      <sz val="11"/>
      <color theme="1"/>
      <name val="Calibri"/>
      <family val="2"/>
    </font>
    <font>
      <sz val="11"/>
      <color rgb="FF107C41"/>
      <name val="Calibri"/>
      <family val="2"/>
      <scheme val="minor"/>
    </font>
    <font>
      <sz val="14"/>
      <color theme="1"/>
      <name val="Calibri"/>
      <family val="2"/>
      <scheme val="minor"/>
    </font>
    <font>
      <b/>
      <sz val="14"/>
      <color theme="1"/>
      <name val="Calibri"/>
      <family val="2"/>
      <scheme val="minor"/>
    </font>
    <font>
      <b/>
      <sz val="14"/>
      <color rgb="FF7030A0"/>
      <name val="Calibri"/>
      <family val="2"/>
      <scheme val="minor"/>
    </font>
    <font>
      <i/>
      <sz val="14"/>
      <color theme="1"/>
      <name val="Calibri"/>
      <family val="2"/>
      <scheme val="minor"/>
    </font>
    <font>
      <i/>
      <u/>
      <sz val="14"/>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60">
    <xf numFmtId="0" fontId="0" fillId="0" borderId="0" xfId="0"/>
    <xf numFmtId="0" fontId="2" fillId="0" borderId="0" xfId="0" applyFont="1"/>
    <xf numFmtId="0" fontId="0" fillId="0" borderId="0" xfId="0" applyAlignment="1">
      <alignment horizontal="center"/>
    </xf>
    <xf numFmtId="0" fontId="2" fillId="0" borderId="1" xfId="0" applyFont="1" applyBorder="1" applyAlignment="1">
      <alignment horizontal="center"/>
    </xf>
    <xf numFmtId="170" fontId="0" fillId="0" borderId="0" xfId="1" applyNumberFormat="1" applyFont="1"/>
    <xf numFmtId="14" fontId="0" fillId="0" borderId="0" xfId="0" applyNumberFormat="1"/>
    <xf numFmtId="0" fontId="2" fillId="0" borderId="1" xfId="0" applyFont="1" applyBorder="1" applyAlignment="1">
      <alignment horizontal="right"/>
    </xf>
    <xf numFmtId="0" fontId="2" fillId="0" borderId="1" xfId="0" applyFont="1" applyBorder="1"/>
    <xf numFmtId="171" fontId="0" fillId="0" borderId="0" xfId="0" applyNumberFormat="1" applyAlignment="1">
      <alignment horizontal="center"/>
    </xf>
    <xf numFmtId="1" fontId="0" fillId="0" borderId="0" xfId="0" applyNumberFormat="1" applyAlignment="1">
      <alignment horizontal="center"/>
    </xf>
    <xf numFmtId="0" fontId="3" fillId="0" borderId="0" xfId="0" applyFont="1"/>
    <xf numFmtId="170" fontId="0" fillId="0" borderId="0" xfId="0" applyNumberFormat="1"/>
    <xf numFmtId="0" fontId="0" fillId="0" borderId="0" xfId="0" applyAlignment="1">
      <alignment horizontal="left"/>
    </xf>
    <xf numFmtId="0" fontId="5" fillId="0" borderId="0" xfId="0" applyFont="1"/>
    <xf numFmtId="0" fontId="6" fillId="0" borderId="0" xfId="0" applyFont="1"/>
    <xf numFmtId="0" fontId="7" fillId="0" borderId="1" xfId="0" applyFont="1" applyBorder="1" applyAlignment="1">
      <alignment horizontal="center"/>
    </xf>
    <xf numFmtId="0" fontId="6" fillId="0" borderId="1" xfId="0" applyFont="1" applyBorder="1"/>
    <xf numFmtId="0" fontId="7" fillId="0" borderId="0" xfId="0" applyFont="1"/>
    <xf numFmtId="164" fontId="6" fillId="0" borderId="0" xfId="0" applyNumberFormat="1" applyFont="1"/>
    <xf numFmtId="164" fontId="6" fillId="0" borderId="0" xfId="2" applyNumberFormat="1" applyFont="1"/>
    <xf numFmtId="0" fontId="8" fillId="0" borderId="0" xfId="0" applyFont="1" applyAlignment="1">
      <alignment horizontal="center"/>
    </xf>
    <xf numFmtId="164" fontId="8" fillId="0" borderId="0" xfId="0" applyNumberFormat="1" applyFont="1"/>
    <xf numFmtId="164" fontId="8" fillId="0" borderId="0" xfId="2" applyNumberFormat="1" applyFont="1"/>
    <xf numFmtId="165" fontId="8" fillId="0" borderId="0" xfId="2" applyNumberFormat="1" applyFont="1"/>
    <xf numFmtId="166" fontId="8" fillId="0" borderId="0" xfId="1" applyNumberFormat="1" applyFont="1"/>
    <xf numFmtId="0" fontId="6" fillId="0" borderId="0" xfId="0" applyFont="1" applyAlignment="1">
      <alignment horizontal="center"/>
    </xf>
    <xf numFmtId="165" fontId="6" fillId="0" borderId="0" xfId="2" applyNumberFormat="1" applyFont="1"/>
    <xf numFmtId="166" fontId="6" fillId="0" borderId="0" xfId="1" applyNumberFormat="1" applyFont="1"/>
    <xf numFmtId="0" fontId="7" fillId="0" borderId="2" xfId="0" applyFont="1" applyBorder="1"/>
    <xf numFmtId="0" fontId="7" fillId="0" borderId="8" xfId="0" applyFont="1" applyBorder="1"/>
    <xf numFmtId="0" fontId="6" fillId="0" borderId="3" xfId="0" applyFont="1" applyBorder="1"/>
    <xf numFmtId="0" fontId="6" fillId="0" borderId="9" xfId="0" applyFont="1" applyBorder="1"/>
    <xf numFmtId="167" fontId="6" fillId="0" borderId="0" xfId="0" applyNumberFormat="1" applyFont="1"/>
    <xf numFmtId="0" fontId="6" fillId="0" borderId="10" xfId="0" applyFont="1" applyBorder="1"/>
    <xf numFmtId="168" fontId="6" fillId="0" borderId="0" xfId="0" applyNumberFormat="1" applyFont="1"/>
    <xf numFmtId="168" fontId="6" fillId="0" borderId="8" xfId="0" applyNumberFormat="1" applyFont="1" applyBorder="1"/>
    <xf numFmtId="0" fontId="6" fillId="0" borderId="2" xfId="0" applyFont="1" applyBorder="1"/>
    <xf numFmtId="0" fontId="6" fillId="0" borderId="8" xfId="0" applyFont="1" applyBorder="1" applyAlignment="1">
      <alignment horizontal="center"/>
    </xf>
    <xf numFmtId="0" fontId="6" fillId="0" borderId="1" xfId="0" applyFont="1" applyBorder="1" applyAlignment="1">
      <alignment horizontal="center"/>
    </xf>
    <xf numFmtId="43" fontId="6" fillId="0" borderId="0" xfId="0" applyNumberFormat="1" applyFont="1"/>
    <xf numFmtId="0" fontId="7" fillId="0" borderId="0" xfId="0" applyFont="1" applyAlignment="1">
      <alignment horizontal="center"/>
    </xf>
    <xf numFmtId="0" fontId="7" fillId="0" borderId="4" xfId="0" applyFont="1" applyBorder="1" applyAlignment="1">
      <alignment horizontal="center"/>
    </xf>
    <xf numFmtId="0" fontId="6" fillId="0" borderId="4" xfId="0" applyFont="1" applyBorder="1"/>
    <xf numFmtId="165" fontId="6" fillId="0" borderId="0" xfId="0" applyNumberFormat="1" applyFont="1"/>
    <xf numFmtId="169" fontId="6" fillId="0" borderId="5" xfId="1" applyNumberFormat="1" applyFont="1" applyBorder="1"/>
    <xf numFmtId="169" fontId="6" fillId="0" borderId="6" xfId="1" applyNumberFormat="1" applyFont="1" applyBorder="1"/>
    <xf numFmtId="169" fontId="6" fillId="0" borderId="7" xfId="1" applyNumberFormat="1" applyFont="1" applyBorder="1"/>
    <xf numFmtId="165" fontId="7" fillId="0" borderId="0" xfId="0" applyNumberFormat="1" applyFont="1"/>
    <xf numFmtId="166" fontId="6" fillId="0" borderId="0" xfId="0" applyNumberFormat="1" applyFont="1"/>
    <xf numFmtId="0" fontId="9" fillId="0" borderId="0" xfId="0" applyFont="1"/>
    <xf numFmtId="165" fontId="7" fillId="0" borderId="0" xfId="2" applyNumberFormat="1" applyFont="1"/>
    <xf numFmtId="14" fontId="6" fillId="0" borderId="0" xfId="0" applyNumberFormat="1" applyFont="1" applyAlignment="1">
      <alignment horizontal="left"/>
    </xf>
    <xf numFmtId="0" fontId="6" fillId="0" borderId="0" xfId="0" applyFont="1" applyAlignment="1">
      <alignment horizontal="left"/>
    </xf>
    <xf numFmtId="15" fontId="6" fillId="0" borderId="0" xfId="0" applyNumberFormat="1" applyFont="1"/>
    <xf numFmtId="49" fontId="6" fillId="0" borderId="0" xfId="0" applyNumberFormat="1" applyFont="1"/>
    <xf numFmtId="10" fontId="6" fillId="0" borderId="0" xfId="0" applyNumberFormat="1" applyFont="1"/>
    <xf numFmtId="2" fontId="6" fillId="0" borderId="0" xfId="3" applyNumberFormat="1" applyFont="1"/>
    <xf numFmtId="0" fontId="6" fillId="0" borderId="0" xfId="0" applyFont="1" applyAlignment="1">
      <alignment horizontal="left" vertical="center"/>
    </xf>
    <xf numFmtId="168" fontId="6" fillId="2" borderId="0" xfId="0" applyNumberFormat="1" applyFont="1" applyFill="1"/>
    <xf numFmtId="0" fontId="6" fillId="0" borderId="0" xfId="0" applyFont="1" applyAlignment="1"/>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Array" Target="richData/rdarray.xml"/><Relationship Id="rId17" Type="http://schemas.microsoft.com/office/2023/09/relationships/Python" Target="pyth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Discrete-Tenor Par Curve</c:v>
          </c:tx>
          <c:spPr>
            <a:ln w="19050" cap="rnd">
              <a:solidFill>
                <a:schemeClr val="accent1"/>
              </a:solidFill>
              <a:round/>
            </a:ln>
            <a:effectLst/>
          </c:spPr>
          <c:marker>
            <c:symbol val="diamond"/>
            <c:size val="5"/>
            <c:spPr>
              <a:solidFill>
                <a:schemeClr val="accent1"/>
              </a:solidFill>
              <a:ln w="9525">
                <a:solidFill>
                  <a:schemeClr val="accent1"/>
                </a:solidFill>
              </a:ln>
              <a:effectLst/>
            </c:spPr>
          </c:marker>
          <c:xVal>
            <c:numRef>
              <c:f>'Treasury Example (No Math)'!$B$7:$B$27</c:f>
              <c:numCache>
                <c:formatCode>General</c:formatCode>
                <c:ptCount val="21"/>
                <c:pt idx="0">
                  <c:v>1</c:v>
                </c:pt>
                <c:pt idx="1">
                  <c:v>3</c:v>
                </c:pt>
                <c:pt idx="2">
                  <c:v>6</c:v>
                </c:pt>
                <c:pt idx="3">
                  <c:v>12</c:v>
                </c:pt>
                <c:pt idx="4">
                  <c:v>24</c:v>
                </c:pt>
                <c:pt idx="5">
                  <c:v>36</c:v>
                </c:pt>
                <c:pt idx="6">
                  <c:v>60</c:v>
                </c:pt>
                <c:pt idx="7">
                  <c:v>84</c:v>
                </c:pt>
                <c:pt idx="8">
                  <c:v>120</c:v>
                </c:pt>
                <c:pt idx="9">
                  <c:v>240</c:v>
                </c:pt>
                <c:pt idx="10">
                  <c:v>360</c:v>
                </c:pt>
              </c:numCache>
            </c:numRef>
          </c:xVal>
          <c:yVal>
            <c:numRef>
              <c:f>'Treasury Example (No Math)'!$E$7:$E$27</c:f>
              <c:numCache>
                <c:formatCode>_(* #,##0.0000_);_(* \(#,##0.0000\);_(* "-"??_);_(@_)</c:formatCode>
                <c:ptCount val="21"/>
                <c:pt idx="0">
                  <c:v>4.7</c:v>
                </c:pt>
                <c:pt idx="1">
                  <c:v>4.63</c:v>
                </c:pt>
                <c:pt idx="2">
                  <c:v>4.4400000000000004</c:v>
                </c:pt>
                <c:pt idx="3">
                  <c:v>4.33</c:v>
                </c:pt>
                <c:pt idx="4">
                  <c:v>4.29</c:v>
                </c:pt>
                <c:pt idx="5">
                  <c:v>4.25</c:v>
                </c:pt>
                <c:pt idx="6">
                  <c:v>4.28</c:v>
                </c:pt>
                <c:pt idx="7">
                  <c:v>4.3499999999999996</c:v>
                </c:pt>
                <c:pt idx="8">
                  <c:v>4.42</c:v>
                </c:pt>
                <c:pt idx="9">
                  <c:v>4.7</c:v>
                </c:pt>
                <c:pt idx="10">
                  <c:v>4.6100000000000003</c:v>
                </c:pt>
              </c:numCache>
            </c:numRef>
          </c:yVal>
          <c:smooth val="0"/>
          <c:extLst>
            <c:ext xmlns:c16="http://schemas.microsoft.com/office/drawing/2014/chart" uri="{C3380CC4-5D6E-409C-BE32-E72D297353CC}">
              <c16:uniqueId val="{00000000-59CF-4087-9341-A819F2C163B1}"/>
            </c:ext>
          </c:extLst>
        </c:ser>
        <c:ser>
          <c:idx val="1"/>
          <c:order val="1"/>
          <c:tx>
            <c:v>Continuous Monthly Zero-Rates</c:v>
          </c:tx>
          <c:spPr>
            <a:ln w="12700" cap="rnd">
              <a:solidFill>
                <a:schemeClr val="tx1"/>
              </a:solidFill>
              <a:prstDash val="sysDash"/>
              <a:round/>
            </a:ln>
            <a:effectLst/>
          </c:spPr>
          <c:marker>
            <c:symbol val="none"/>
          </c:marker>
          <c:xVal>
            <c:numRef>
              <c:f>'Treasury Example (No Math)'!$H$7:$H$366</c:f>
              <c:numCache>
                <c:formatCode>General</c:formatCode>
                <c:ptCount val="3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numCache>
            </c:numRef>
          </c:xVal>
          <c:yVal>
            <c:numRef>
              <c:f>'Treasury Example (No Math)'!$J$7:$J$366</c:f>
              <c:numCache>
                <c:formatCode>_(* #,##0.0000_);_(* \(#,##0.0000\);_(* "-"??_);_(@_)</c:formatCode>
                <c:ptCount val="360"/>
                <c:pt idx="0">
                  <c:v>4.4998300000000002</c:v>
                </c:pt>
                <c:pt idx="1">
                  <c:v>4.4998300000000002</c:v>
                </c:pt>
                <c:pt idx="2">
                  <c:v>4.4998300000000002</c:v>
                </c:pt>
                <c:pt idx="3">
                  <c:v>4.4998300000000002</c:v>
                </c:pt>
                <c:pt idx="4">
                  <c:v>4.46315928431651</c:v>
                </c:pt>
                <c:pt idx="5">
                  <c:v>4.4377969225801701</c:v>
                </c:pt>
                <c:pt idx="6">
                  <c:v>4.4225599999999901</c:v>
                </c:pt>
                <c:pt idx="7">
                  <c:v>4.3871350995703402</c:v>
                </c:pt>
                <c:pt idx="8">
                  <c:v>4.3607526404025903</c:v>
                </c:pt>
                <c:pt idx="9">
                  <c:v>4.3409282906032898</c:v>
                </c:pt>
                <c:pt idx="10">
                  <c:v>4.3236127116420802</c:v>
                </c:pt>
                <c:pt idx="11">
                  <c:v>4.3116048375542597</c:v>
                </c:pt>
                <c:pt idx="12">
                  <c:v>4.3004600000000197</c:v>
                </c:pt>
                <c:pt idx="13">
                  <c:v>4.2931359257550197</c:v>
                </c:pt>
                <c:pt idx="14">
                  <c:v>4.28744909643894</c:v>
                </c:pt>
                <c:pt idx="15">
                  <c:v>4.2821683351244904</c:v>
                </c:pt>
                <c:pt idx="16">
                  <c:v>4.2779789463015696</c:v>
                </c:pt>
                <c:pt idx="17">
                  <c:v>4.2738711205729398</c:v>
                </c:pt>
                <c:pt idx="18">
                  <c:v>4.2703400000000196</c:v>
                </c:pt>
                <c:pt idx="19">
                  <c:v>4.2664754713104696</c:v>
                </c:pt>
                <c:pt idx="20">
                  <c:v>4.2635260464589697</c:v>
                </c:pt>
                <c:pt idx="21">
                  <c:v>4.2605626306256204</c:v>
                </c:pt>
                <c:pt idx="22">
                  <c:v>4.2577912978805497</c:v>
                </c:pt>
                <c:pt idx="23">
                  <c:v>4.2554989801549601</c:v>
                </c:pt>
                <c:pt idx="24">
                  <c:v>4.2532500000000102</c:v>
                </c:pt>
                <c:pt idx="25">
                  <c:v>4.2489002689582103</c:v>
                </c:pt>
                <c:pt idx="26">
                  <c:v>4.2450155501615203</c:v>
                </c:pt>
                <c:pt idx="27">
                  <c:v>4.2410691475359004</c:v>
                </c:pt>
                <c:pt idx="28">
                  <c:v>4.2379604757561298</c:v>
                </c:pt>
                <c:pt idx="29">
                  <c:v>4.2349491368603802</c:v>
                </c:pt>
                <c:pt idx="30">
                  <c:v>4.2320357523355101</c:v>
                </c:pt>
                <c:pt idx="31">
                  <c:v>4.2291325014722796</c:v>
                </c:pt>
                <c:pt idx="32">
                  <c:v>4.2266665814513003</c:v>
                </c:pt>
                <c:pt idx="33">
                  <c:v>4.2241883139297904</c:v>
                </c:pt>
                <c:pt idx="34">
                  <c:v>4.2218586740111697</c:v>
                </c:pt>
                <c:pt idx="35">
                  <c:v>4.2197334587372302</c:v>
                </c:pt>
                <c:pt idx="36">
                  <c:v>4.2175299999999796</c:v>
                </c:pt>
                <c:pt idx="37">
                  <c:v>4.21905438360786</c:v>
                </c:pt>
                <c:pt idx="38">
                  <c:v>4.2206559688188001</c:v>
                </c:pt>
                <c:pt idx="39">
                  <c:v>4.2222215579001103</c:v>
                </c:pt>
                <c:pt idx="40">
                  <c:v>4.2235238642117903</c:v>
                </c:pt>
                <c:pt idx="41">
                  <c:v>4.2248974938103903</c:v>
                </c:pt>
                <c:pt idx="42">
                  <c:v>4.2262455992131596</c:v>
                </c:pt>
                <c:pt idx="43">
                  <c:v>4.2274103506372702</c:v>
                </c:pt>
                <c:pt idx="44">
                  <c:v>4.2285621408958196</c:v>
                </c:pt>
                <c:pt idx="45">
                  <c:v>4.2297351240454502</c:v>
                </c:pt>
                <c:pt idx="46">
                  <c:v>4.2307861017236696</c:v>
                </c:pt>
                <c:pt idx="47">
                  <c:v>4.23179298750913</c:v>
                </c:pt>
                <c:pt idx="48">
                  <c:v>4.2327900000000103</c:v>
                </c:pt>
                <c:pt idx="49">
                  <c:v>4.23395559857211</c:v>
                </c:pt>
                <c:pt idx="50">
                  <c:v>4.2351847615955203</c:v>
                </c:pt>
                <c:pt idx="51">
                  <c:v>4.2362218174373503</c:v>
                </c:pt>
                <c:pt idx="52">
                  <c:v>4.2371870176336897</c:v>
                </c:pt>
                <c:pt idx="53">
                  <c:v>4.2382165253430903</c:v>
                </c:pt>
                <c:pt idx="54">
                  <c:v>4.2392071886043796</c:v>
                </c:pt>
                <c:pt idx="55">
                  <c:v>4.2401309434941599</c:v>
                </c:pt>
                <c:pt idx="56">
                  <c:v>4.2410221566636004</c:v>
                </c:pt>
                <c:pt idx="57">
                  <c:v>4.2419106839605796</c:v>
                </c:pt>
                <c:pt idx="58">
                  <c:v>4.2427680031980097</c:v>
                </c:pt>
                <c:pt idx="59">
                  <c:v>4.2436219556480497</c:v>
                </c:pt>
                <c:pt idx="60">
                  <c:v>4.2443700000000204</c:v>
                </c:pt>
                <c:pt idx="61">
                  <c:v>4.2485388560689996</c:v>
                </c:pt>
                <c:pt idx="62">
                  <c:v>4.2528396973210203</c:v>
                </c:pt>
                <c:pt idx="63">
                  <c:v>4.2567414773236196</c:v>
                </c:pt>
                <c:pt idx="64">
                  <c:v>4.2602746642387102</c:v>
                </c:pt>
                <c:pt idx="65">
                  <c:v>4.26431049900415</c:v>
                </c:pt>
                <c:pt idx="66">
                  <c:v>4.2676308252025397</c:v>
                </c:pt>
                <c:pt idx="67">
                  <c:v>4.2712005386365002</c:v>
                </c:pt>
                <c:pt idx="68">
                  <c:v>4.2747733184988101</c:v>
                </c:pt>
                <c:pt idx="69">
                  <c:v>4.2779171058217296</c:v>
                </c:pt>
                <c:pt idx="70">
                  <c:v>4.2811830925070904</c:v>
                </c:pt>
                <c:pt idx="71">
                  <c:v>4.2843554266498902</c:v>
                </c:pt>
                <c:pt idx="72">
                  <c:v>4.2873400000000004</c:v>
                </c:pt>
                <c:pt idx="73">
                  <c:v>4.2902909730956598</c:v>
                </c:pt>
                <c:pt idx="74">
                  <c:v>4.29325775738607</c:v>
                </c:pt>
                <c:pt idx="75">
                  <c:v>4.2961440133217002</c:v>
                </c:pt>
                <c:pt idx="76">
                  <c:v>4.2986844325153797</c:v>
                </c:pt>
                <c:pt idx="77">
                  <c:v>4.3015134567140603</c:v>
                </c:pt>
                <c:pt idx="78">
                  <c:v>4.3040113599150898</c:v>
                </c:pt>
                <c:pt idx="79">
                  <c:v>4.3066148938361204</c:v>
                </c:pt>
                <c:pt idx="80">
                  <c:v>4.3091521412298697</c:v>
                </c:pt>
                <c:pt idx="81">
                  <c:v>4.3115467837243404</c:v>
                </c:pt>
                <c:pt idx="82">
                  <c:v>4.3141144624089502</c:v>
                </c:pt>
                <c:pt idx="83">
                  <c:v>4.3162404908835104</c:v>
                </c:pt>
                <c:pt idx="84">
                  <c:v>4.3185399999999996</c:v>
                </c:pt>
                <c:pt idx="85">
                  <c:v>4.3216001552182099</c:v>
                </c:pt>
                <c:pt idx="86">
                  <c:v>4.3243088167055399</c:v>
                </c:pt>
                <c:pt idx="87">
                  <c:v>4.3271387135581696</c:v>
                </c:pt>
                <c:pt idx="88">
                  <c:v>4.3299031560544599</c:v>
                </c:pt>
                <c:pt idx="89">
                  <c:v>4.3324319812544996</c:v>
                </c:pt>
                <c:pt idx="90">
                  <c:v>4.3349916675598603</c:v>
                </c:pt>
                <c:pt idx="91">
                  <c:v>4.3376609216463402</c:v>
                </c:pt>
                <c:pt idx="92">
                  <c:v>4.3400272435972997</c:v>
                </c:pt>
                <c:pt idx="93">
                  <c:v>4.3425031601747497</c:v>
                </c:pt>
                <c:pt idx="94">
                  <c:v>4.3449254508282698</c:v>
                </c:pt>
                <c:pt idx="95">
                  <c:v>4.3472201680273299</c:v>
                </c:pt>
                <c:pt idx="96">
                  <c:v>4.3496900000000096</c:v>
                </c:pt>
                <c:pt idx="97">
                  <c:v>4.3517590251794598</c:v>
                </c:pt>
                <c:pt idx="98">
                  <c:v>4.3540044480301399</c:v>
                </c:pt>
                <c:pt idx="99">
                  <c:v>4.356273896137</c:v>
                </c:pt>
                <c:pt idx="100">
                  <c:v>4.3582205291782898</c:v>
                </c:pt>
                <c:pt idx="101">
                  <c:v>4.3602668622026099</c:v>
                </c:pt>
                <c:pt idx="102">
                  <c:v>4.36227364697341</c:v>
                </c:pt>
                <c:pt idx="103">
                  <c:v>4.3643069827244796</c:v>
                </c:pt>
                <c:pt idx="104">
                  <c:v>4.36623680879626</c:v>
                </c:pt>
                <c:pt idx="105">
                  <c:v>4.3683178058822003</c:v>
                </c:pt>
                <c:pt idx="106">
                  <c:v>4.3701114313371603</c:v>
                </c:pt>
                <c:pt idx="107">
                  <c:v>4.3719333001316096</c:v>
                </c:pt>
                <c:pt idx="108">
                  <c:v>4.3738400000000102</c:v>
                </c:pt>
                <c:pt idx="109">
                  <c:v>4.3755986396272197</c:v>
                </c:pt>
                <c:pt idx="110">
                  <c:v>4.3774448906141998</c:v>
                </c:pt>
                <c:pt idx="111">
                  <c:v>4.3792572816583801</c:v>
                </c:pt>
                <c:pt idx="112">
                  <c:v>4.3808659451122898</c:v>
                </c:pt>
                <c:pt idx="113">
                  <c:v>4.3826164154116203</c:v>
                </c:pt>
                <c:pt idx="114">
                  <c:v>4.3843905617301404</c:v>
                </c:pt>
                <c:pt idx="115">
                  <c:v>4.3859703647775001</c:v>
                </c:pt>
                <c:pt idx="116">
                  <c:v>4.3875773334346704</c:v>
                </c:pt>
                <c:pt idx="117">
                  <c:v>4.3892616029778297</c:v>
                </c:pt>
                <c:pt idx="118">
                  <c:v>4.3908133558682003</c:v>
                </c:pt>
                <c:pt idx="119">
                  <c:v>4.3923394076901703</c:v>
                </c:pt>
                <c:pt idx="120">
                  <c:v>4.3938900000000096</c:v>
                </c:pt>
                <c:pt idx="121">
                  <c:v>4.3996403181549804</c:v>
                </c:pt>
                <c:pt idx="122">
                  <c:v>4.4058585831387997</c:v>
                </c:pt>
                <c:pt idx="123">
                  <c:v>4.4112327796447497</c:v>
                </c:pt>
                <c:pt idx="124">
                  <c:v>4.4163433791406099</c:v>
                </c:pt>
                <c:pt idx="125">
                  <c:v>4.4219139072653402</c:v>
                </c:pt>
                <c:pt idx="126">
                  <c:v>4.4273945019584398</c:v>
                </c:pt>
                <c:pt idx="127">
                  <c:v>4.4326147101164901</c:v>
                </c:pt>
                <c:pt idx="128">
                  <c:v>4.43775461387101</c:v>
                </c:pt>
                <c:pt idx="129">
                  <c:v>4.4429834363303797</c:v>
                </c:pt>
                <c:pt idx="130">
                  <c:v>4.4481304412196598</c:v>
                </c:pt>
                <c:pt idx="131">
                  <c:v>4.4533596790873498</c:v>
                </c:pt>
                <c:pt idx="132">
                  <c:v>4.4580268250031398</c:v>
                </c:pt>
                <c:pt idx="133">
                  <c:v>4.4627846294844602</c:v>
                </c:pt>
                <c:pt idx="134">
                  <c:v>4.4677826012921296</c:v>
                </c:pt>
                <c:pt idx="135">
                  <c:v>4.4723976081496399</c:v>
                </c:pt>
                <c:pt idx="136">
                  <c:v>4.4767952705278002</c:v>
                </c:pt>
                <c:pt idx="137">
                  <c:v>4.4815769856530396</c:v>
                </c:pt>
                <c:pt idx="138">
                  <c:v>4.4858475566212297</c:v>
                </c:pt>
                <c:pt idx="139">
                  <c:v>4.4903479931490198</c:v>
                </c:pt>
                <c:pt idx="140">
                  <c:v>4.4947830426343298</c:v>
                </c:pt>
                <c:pt idx="141">
                  <c:v>4.4990141016791396</c:v>
                </c:pt>
                <c:pt idx="142">
                  <c:v>4.5036005550543701</c:v>
                </c:pt>
                <c:pt idx="143">
                  <c:v>4.5074376243866796</c:v>
                </c:pt>
                <c:pt idx="144">
                  <c:v>4.51162870532493</c:v>
                </c:pt>
                <c:pt idx="145">
                  <c:v>4.5158933366186398</c:v>
                </c:pt>
                <c:pt idx="146">
                  <c:v>4.5197051840057503</c:v>
                </c:pt>
                <c:pt idx="147">
                  <c:v>4.5237253610973696</c:v>
                </c:pt>
                <c:pt idx="148">
                  <c:v>4.5273089790073504</c:v>
                </c:pt>
                <c:pt idx="149">
                  <c:v>4.53122499852023</c:v>
                </c:pt>
                <c:pt idx="150">
                  <c:v>4.5349641137275603</c:v>
                </c:pt>
                <c:pt idx="151">
                  <c:v>4.5390208504214202</c:v>
                </c:pt>
                <c:pt idx="152">
                  <c:v>4.5424175936899402</c:v>
                </c:pt>
                <c:pt idx="153">
                  <c:v>4.5461306836040496</c:v>
                </c:pt>
                <c:pt idx="154">
                  <c:v>4.54991211164839</c:v>
                </c:pt>
                <c:pt idx="155">
                  <c:v>4.5532947733083704</c:v>
                </c:pt>
                <c:pt idx="156">
                  <c:v>4.5568650882773296</c:v>
                </c:pt>
                <c:pt idx="157">
                  <c:v>4.56038914514094</c:v>
                </c:pt>
                <c:pt idx="158">
                  <c:v>4.5637563203624802</c:v>
                </c:pt>
                <c:pt idx="159">
                  <c:v>4.5674120839461496</c:v>
                </c:pt>
                <c:pt idx="160">
                  <c:v>4.5704751413910802</c:v>
                </c:pt>
                <c:pt idx="161">
                  <c:v>4.5736107296792596</c:v>
                </c:pt>
                <c:pt idx="162">
                  <c:v>4.5768156642203897</c:v>
                </c:pt>
                <c:pt idx="163">
                  <c:v>4.5801915915156597</c:v>
                </c:pt>
                <c:pt idx="164">
                  <c:v>4.5832136729867301</c:v>
                </c:pt>
                <c:pt idx="165">
                  <c:v>4.5864056184711002</c:v>
                </c:pt>
                <c:pt idx="166">
                  <c:v>4.58955844011615</c:v>
                </c:pt>
                <c:pt idx="167">
                  <c:v>4.59257298025486</c:v>
                </c:pt>
                <c:pt idx="168">
                  <c:v>4.5958481825946897</c:v>
                </c:pt>
                <c:pt idx="169">
                  <c:v>4.5985942219308704</c:v>
                </c:pt>
                <c:pt idx="170">
                  <c:v>4.6015998534380698</c:v>
                </c:pt>
                <c:pt idx="171">
                  <c:v>4.6046649405547999</c:v>
                </c:pt>
                <c:pt idx="172">
                  <c:v>4.6073161842485897</c:v>
                </c:pt>
                <c:pt idx="173">
                  <c:v>4.6101255413747699</c:v>
                </c:pt>
                <c:pt idx="174">
                  <c:v>4.6129030963331097</c:v>
                </c:pt>
                <c:pt idx="175">
                  <c:v>4.6157403967856903</c:v>
                </c:pt>
                <c:pt idx="176">
                  <c:v>4.6184549305121196</c:v>
                </c:pt>
                <c:pt idx="177">
                  <c:v>4.6214060443643001</c:v>
                </c:pt>
                <c:pt idx="178">
                  <c:v>4.6239697993308804</c:v>
                </c:pt>
                <c:pt idx="179">
                  <c:v>4.62659326561998</c:v>
                </c:pt>
                <c:pt idx="180">
                  <c:v>4.6293599999999797</c:v>
                </c:pt>
                <c:pt idx="181">
                  <c:v>4.6315874247372202</c:v>
                </c:pt>
                <c:pt idx="182">
                  <c:v>4.6339426992514801</c:v>
                </c:pt>
                <c:pt idx="183">
                  <c:v>4.63627178372343</c:v>
                </c:pt>
                <c:pt idx="184">
                  <c:v>4.6384272796200099</c:v>
                </c:pt>
                <c:pt idx="185">
                  <c:v>4.6407068993278999</c:v>
                </c:pt>
                <c:pt idx="186">
                  <c:v>4.6429615773262398</c:v>
                </c:pt>
                <c:pt idx="187">
                  <c:v>4.6451201594690499</c:v>
                </c:pt>
                <c:pt idx="188">
                  <c:v>4.6472561255114497</c:v>
                </c:pt>
                <c:pt idx="189">
                  <c:v>4.6494399064704899</c:v>
                </c:pt>
                <c:pt idx="190">
                  <c:v>4.6516002978709299</c:v>
                </c:pt>
                <c:pt idx="191">
                  <c:v>4.6538062420352402</c:v>
                </c:pt>
                <c:pt idx="192">
                  <c:v>4.65578453205437</c:v>
                </c:pt>
                <c:pt idx="193">
                  <c:v>4.6578105031370898</c:v>
                </c:pt>
                <c:pt idx="194">
                  <c:v>4.6599488745948703</c:v>
                </c:pt>
                <c:pt idx="195">
                  <c:v>4.6619326789939297</c:v>
                </c:pt>
                <c:pt idx="196">
                  <c:v>4.6637662405038904</c:v>
                </c:pt>
                <c:pt idx="197">
                  <c:v>4.6659052634850298</c:v>
                </c:pt>
                <c:pt idx="198">
                  <c:v>4.6677018341378496</c:v>
                </c:pt>
                <c:pt idx="199">
                  <c:v>4.6696715343963504</c:v>
                </c:pt>
                <c:pt idx="200">
                  <c:v>4.6716837525305097</c:v>
                </c:pt>
                <c:pt idx="201">
                  <c:v>4.6734891570048704</c:v>
                </c:pt>
                <c:pt idx="202">
                  <c:v>4.6754002549182996</c:v>
                </c:pt>
                <c:pt idx="203">
                  <c:v>4.6772921944786603</c:v>
                </c:pt>
                <c:pt idx="204">
                  <c:v>4.6791051324651898</c:v>
                </c:pt>
                <c:pt idx="205">
                  <c:v>4.6809006513889102</c:v>
                </c:pt>
                <c:pt idx="206">
                  <c:v>4.6827379866038603</c:v>
                </c:pt>
                <c:pt idx="207">
                  <c:v>4.6845572592272102</c:v>
                </c:pt>
                <c:pt idx="208">
                  <c:v>4.6861851686012201</c:v>
                </c:pt>
                <c:pt idx="209">
                  <c:v>4.6880281032580999</c:v>
                </c:pt>
                <c:pt idx="210">
                  <c:v>4.6896823333024296</c:v>
                </c:pt>
                <c:pt idx="211">
                  <c:v>4.6914341390188703</c:v>
                </c:pt>
                <c:pt idx="212">
                  <c:v>4.69316912566957</c:v>
                </c:pt>
                <c:pt idx="213">
                  <c:v>4.6948323581085001</c:v>
                </c:pt>
                <c:pt idx="214">
                  <c:v>4.6966442373820101</c:v>
                </c:pt>
                <c:pt idx="215">
                  <c:v>4.6981672692570697</c:v>
                </c:pt>
                <c:pt idx="216">
                  <c:v>4.6998383628104703</c:v>
                </c:pt>
                <c:pt idx="217">
                  <c:v>4.7015469257601303</c:v>
                </c:pt>
                <c:pt idx="218">
                  <c:v>4.70308108774256</c:v>
                </c:pt>
                <c:pt idx="219">
                  <c:v>4.7047063053688998</c:v>
                </c:pt>
                <c:pt idx="220">
                  <c:v>4.7061613166078997</c:v>
                </c:pt>
                <c:pt idx="221">
                  <c:v>4.7077581009612697</c:v>
                </c:pt>
                <c:pt idx="222">
                  <c:v>4.7092894334694897</c:v>
                </c:pt>
                <c:pt idx="223">
                  <c:v>4.7109582786041901</c:v>
                </c:pt>
                <c:pt idx="224">
                  <c:v>4.7123616065015499</c:v>
                </c:pt>
                <c:pt idx="225">
                  <c:v>4.7139019140705498</c:v>
                </c:pt>
                <c:pt idx="226">
                  <c:v>4.7154773593066901</c:v>
                </c:pt>
                <c:pt idx="227">
                  <c:v>4.7168925093925598</c:v>
                </c:pt>
                <c:pt idx="228">
                  <c:v>4.7183921863265299</c:v>
                </c:pt>
                <c:pt idx="229">
                  <c:v>4.7198785340759803</c:v>
                </c:pt>
                <c:pt idx="230">
                  <c:v>4.7213044106279201</c:v>
                </c:pt>
                <c:pt idx="231">
                  <c:v>4.7228588362071999</c:v>
                </c:pt>
                <c:pt idx="232">
                  <c:v>4.7241663578609501</c:v>
                </c:pt>
                <c:pt idx="233">
                  <c:v>4.7255558244427398</c:v>
                </c:pt>
                <c:pt idx="234">
                  <c:v>4.7269335929922596</c:v>
                </c:pt>
                <c:pt idx="235">
                  <c:v>4.72834515397067</c:v>
                </c:pt>
                <c:pt idx="236">
                  <c:v>4.7296995875855803</c:v>
                </c:pt>
                <c:pt idx="237">
                  <c:v>4.7311764654533999</c:v>
                </c:pt>
                <c:pt idx="238">
                  <c:v>4.7324632283530601</c:v>
                </c:pt>
                <c:pt idx="239">
                  <c:v>4.7337835738586103</c:v>
                </c:pt>
                <c:pt idx="240">
                  <c:v>4.73517999999999</c:v>
                </c:pt>
                <c:pt idx="241">
                  <c:v>4.7330613585458101</c:v>
                </c:pt>
                <c:pt idx="242">
                  <c:v>4.7308150754684899</c:v>
                </c:pt>
                <c:pt idx="243">
                  <c:v>4.7285876445703598</c:v>
                </c:pt>
                <c:pt idx="244">
                  <c:v>4.7265917786881104</c:v>
                </c:pt>
                <c:pt idx="245">
                  <c:v>4.7243995780793702</c:v>
                </c:pt>
                <c:pt idx="246">
                  <c:v>4.7221557245956403</c:v>
                </c:pt>
                <c:pt idx="247">
                  <c:v>4.7201387550316598</c:v>
                </c:pt>
                <c:pt idx="248">
                  <c:v>4.7180685671973901</c:v>
                </c:pt>
                <c:pt idx="249">
                  <c:v>4.7158784538099896</c:v>
                </c:pt>
                <c:pt idx="250">
                  <c:v>4.7138419737648496</c:v>
                </c:pt>
                <c:pt idx="251">
                  <c:v>4.7118215091326299</c:v>
                </c:pt>
                <c:pt idx="252">
                  <c:v>4.7097503208920299</c:v>
                </c:pt>
                <c:pt idx="253">
                  <c:v>4.7077618437130697</c:v>
                </c:pt>
                <c:pt idx="254">
                  <c:v>4.7055923607727896</c:v>
                </c:pt>
                <c:pt idx="255">
                  <c:v>4.7037010927631204</c:v>
                </c:pt>
                <c:pt idx="256">
                  <c:v>4.7018884186463197</c:v>
                </c:pt>
                <c:pt idx="257">
                  <c:v>4.6998966875093604</c:v>
                </c:pt>
                <c:pt idx="258">
                  <c:v>4.69792070238615</c:v>
                </c:pt>
                <c:pt idx="259">
                  <c:v>4.6960232758160201</c:v>
                </c:pt>
                <c:pt idx="260">
                  <c:v>4.6941402556123899</c:v>
                </c:pt>
                <c:pt idx="261">
                  <c:v>4.6922094291558496</c:v>
                </c:pt>
                <c:pt idx="262">
                  <c:v>4.6902936333967</c:v>
                </c:pt>
                <c:pt idx="263">
                  <c:v>4.6883316182535104</c:v>
                </c:pt>
                <c:pt idx="264">
                  <c:v>4.6865670568670303</c:v>
                </c:pt>
                <c:pt idx="265">
                  <c:v>4.6847550182537798</c:v>
                </c:pt>
                <c:pt idx="266">
                  <c:v>4.6828369946112502</c:v>
                </c:pt>
                <c:pt idx="267">
                  <c:v>4.6810525814545896</c:v>
                </c:pt>
                <c:pt idx="268">
                  <c:v>4.6793989880942597</c:v>
                </c:pt>
                <c:pt idx="269">
                  <c:v>4.6774646461569303</c:v>
                </c:pt>
                <c:pt idx="270">
                  <c:v>4.6758355861073104</c:v>
                </c:pt>
                <c:pt idx="271">
                  <c:v>4.6740449020495198</c:v>
                </c:pt>
                <c:pt idx="272">
                  <c:v>4.6722105362120301</c:v>
                </c:pt>
                <c:pt idx="273">
                  <c:v>4.6705603620489802</c:v>
                </c:pt>
                <c:pt idx="274">
                  <c:v>4.6688090893439096</c:v>
                </c:pt>
                <c:pt idx="275">
                  <c:v>4.6670708038479596</c:v>
                </c:pt>
                <c:pt idx="276">
                  <c:v>4.6654008220443197</c:v>
                </c:pt>
                <c:pt idx="277">
                  <c:v>4.66374273971324</c:v>
                </c:pt>
                <c:pt idx="278">
                  <c:v>4.6620417544245703</c:v>
                </c:pt>
                <c:pt idx="279">
                  <c:v>4.6603532019936704</c:v>
                </c:pt>
                <c:pt idx="280">
                  <c:v>4.6587847236436701</c:v>
                </c:pt>
                <c:pt idx="281">
                  <c:v>4.6571198507326699</c:v>
                </c:pt>
                <c:pt idx="282">
                  <c:v>4.6555201481749204</c:v>
                </c:pt>
                <c:pt idx="283">
                  <c:v>4.65377335782504</c:v>
                </c:pt>
                <c:pt idx="284">
                  <c:v>4.65230170469746</c:v>
                </c:pt>
                <c:pt idx="285">
                  <c:v>4.65068346926674</c:v>
                </c:pt>
                <c:pt idx="286">
                  <c:v>4.6490251338969104</c:v>
                </c:pt>
                <c:pt idx="287">
                  <c:v>4.6475327740735501</c:v>
                </c:pt>
                <c:pt idx="288">
                  <c:v>4.6459484238974698</c:v>
                </c:pt>
                <c:pt idx="289">
                  <c:v>4.6443752521316801</c:v>
                </c:pt>
                <c:pt idx="290">
                  <c:v>4.64286336012667</c:v>
                </c:pt>
                <c:pt idx="291">
                  <c:v>4.6412121172037004</c:v>
                </c:pt>
                <c:pt idx="292">
                  <c:v>4.6398206886452797</c:v>
                </c:pt>
                <c:pt idx="293">
                  <c:v>4.6383887881519898</c:v>
                </c:pt>
                <c:pt idx="294">
                  <c:v>4.6369172903312901</c:v>
                </c:pt>
                <c:pt idx="295">
                  <c:v>4.6353585422696</c:v>
                </c:pt>
                <c:pt idx="296">
                  <c:v>4.6339555028826602</c:v>
                </c:pt>
                <c:pt idx="297">
                  <c:v>4.63246566822035</c:v>
                </c:pt>
                <c:pt idx="298">
                  <c:v>4.6309860283896498</c:v>
                </c:pt>
                <c:pt idx="299">
                  <c:v>4.6295637274754498</c:v>
                </c:pt>
                <c:pt idx="300">
                  <c:v>4.6280100000000202</c:v>
                </c:pt>
                <c:pt idx="301">
                  <c:v>4.6266979250350699</c:v>
                </c:pt>
                <c:pt idx="302">
                  <c:v>4.6252546043710199</c:v>
                </c:pt>
                <c:pt idx="303">
                  <c:v>4.62377491143355</c:v>
                </c:pt>
                <c:pt idx="304">
                  <c:v>4.6224885852490996</c:v>
                </c:pt>
                <c:pt idx="305">
                  <c:v>4.6211189994466402</c:v>
                </c:pt>
                <c:pt idx="306">
                  <c:v>4.61975824737348</c:v>
                </c:pt>
                <c:pt idx="307">
                  <c:v>4.6183613267391603</c:v>
                </c:pt>
                <c:pt idx="308">
                  <c:v>4.6170182750236801</c:v>
                </c:pt>
                <c:pt idx="309">
                  <c:v>4.6155508233331597</c:v>
                </c:pt>
                <c:pt idx="310">
                  <c:v>4.61426972735861</c:v>
                </c:pt>
                <c:pt idx="311">
                  <c:v>4.6129527250924296</c:v>
                </c:pt>
                <c:pt idx="312">
                  <c:v>4.6115571030066702</c:v>
                </c:pt>
                <c:pt idx="313">
                  <c:v>4.6103004277055604</c:v>
                </c:pt>
                <c:pt idx="314">
                  <c:v>4.6089655272630603</c:v>
                </c:pt>
                <c:pt idx="315">
                  <c:v>4.6076392674672997</c:v>
                </c:pt>
                <c:pt idx="316">
                  <c:v>4.6064487126341804</c:v>
                </c:pt>
                <c:pt idx="317">
                  <c:v>4.6051386678032502</c:v>
                </c:pt>
                <c:pt idx="318">
                  <c:v>4.6037951742371703</c:v>
                </c:pt>
                <c:pt idx="319">
                  <c:v>4.6025852911341802</c:v>
                </c:pt>
                <c:pt idx="320">
                  <c:v>4.6013412785213896</c:v>
                </c:pt>
                <c:pt idx="321">
                  <c:v>4.6000227607385602</c:v>
                </c:pt>
                <c:pt idx="322">
                  <c:v>4.5987944782522696</c:v>
                </c:pt>
                <c:pt idx="323">
                  <c:v>4.5975737002188</c:v>
                </c:pt>
                <c:pt idx="324">
                  <c:v>4.5963200406038904</c:v>
                </c:pt>
                <c:pt idx="325">
                  <c:v>4.5951143110602599</c:v>
                </c:pt>
                <c:pt idx="326">
                  <c:v>4.5937964363854897</c:v>
                </c:pt>
                <c:pt idx="327">
                  <c:v>4.5926455253669598</c:v>
                </c:pt>
                <c:pt idx="328">
                  <c:v>4.5915013080874498</c:v>
                </c:pt>
                <c:pt idx="329">
                  <c:v>4.5902073360046796</c:v>
                </c:pt>
                <c:pt idx="330">
                  <c:v>4.5891160952700201</c:v>
                </c:pt>
                <c:pt idx="331">
                  <c:v>4.58791501839353</c:v>
                </c:pt>
                <c:pt idx="332">
                  <c:v>4.5866829333755597</c:v>
                </c:pt>
                <c:pt idx="333">
                  <c:v>4.5855730830750598</c:v>
                </c:pt>
                <c:pt idx="334">
                  <c:v>4.5843937000880102</c:v>
                </c:pt>
                <c:pt idx="335">
                  <c:v>4.5832214947455698</c:v>
                </c:pt>
                <c:pt idx="336">
                  <c:v>4.58209387501687</c:v>
                </c:pt>
                <c:pt idx="337">
                  <c:v>4.5809728576450901</c:v>
                </c:pt>
                <c:pt idx="338">
                  <c:v>4.5798213477612499</c:v>
                </c:pt>
                <c:pt idx="339">
                  <c:v>4.57867676295667</c:v>
                </c:pt>
                <c:pt idx="340">
                  <c:v>4.5776488448551902</c:v>
                </c:pt>
                <c:pt idx="341">
                  <c:v>4.5764808787739604</c:v>
                </c:pt>
                <c:pt idx="342">
                  <c:v>4.5754286187802</c:v>
                </c:pt>
                <c:pt idx="343">
                  <c:v>4.5743102602223003</c:v>
                </c:pt>
                <c:pt idx="344">
                  <c:v>4.5731985302865903</c:v>
                </c:pt>
                <c:pt idx="345">
                  <c:v>4.5721289185883096</c:v>
                </c:pt>
                <c:pt idx="346">
                  <c:v>4.5709593894407403</c:v>
                </c:pt>
                <c:pt idx="347">
                  <c:v>4.5699727985319099</c:v>
                </c:pt>
                <c:pt idx="348">
                  <c:v>4.5688865913159997</c:v>
                </c:pt>
                <c:pt idx="349">
                  <c:v>4.5677720001091204</c:v>
                </c:pt>
                <c:pt idx="350">
                  <c:v>4.56676769093938</c:v>
                </c:pt>
                <c:pt idx="351">
                  <c:v>4.5657001535188702</c:v>
                </c:pt>
                <c:pt idx="352">
                  <c:v>4.5647412417324098</c:v>
                </c:pt>
                <c:pt idx="353">
                  <c:v>4.5636854251363896</c:v>
                </c:pt>
                <c:pt idx="354">
                  <c:v>4.5626694577892897</c:v>
                </c:pt>
                <c:pt idx="355">
                  <c:v>4.5615584149878403</c:v>
                </c:pt>
                <c:pt idx="356">
                  <c:v>4.5606210245145098</c:v>
                </c:pt>
                <c:pt idx="357">
                  <c:v>4.5595888399987397</c:v>
                </c:pt>
                <c:pt idx="358">
                  <c:v>4.5585295246025801</c:v>
                </c:pt>
                <c:pt idx="359">
                  <c:v>4.5575748844422401</c:v>
                </c:pt>
              </c:numCache>
            </c:numRef>
          </c:yVal>
          <c:smooth val="0"/>
          <c:extLst>
            <c:ext xmlns:c16="http://schemas.microsoft.com/office/drawing/2014/chart" uri="{C3380CC4-5D6E-409C-BE32-E72D297353CC}">
              <c16:uniqueId val="{00000001-59CF-4087-9341-A819F2C163B1}"/>
            </c:ext>
          </c:extLst>
        </c:ser>
        <c:dLbls>
          <c:showLegendKey val="0"/>
          <c:showVal val="0"/>
          <c:showCatName val="0"/>
          <c:showSerName val="0"/>
          <c:showPercent val="0"/>
          <c:showBubbleSize val="0"/>
        </c:dLbls>
        <c:axId val="678052720"/>
        <c:axId val="678056560"/>
      </c:scatterChart>
      <c:valAx>
        <c:axId val="678052720"/>
        <c:scaling>
          <c:orientation val="minMax"/>
          <c:max val="360"/>
          <c:min val="0"/>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Future</a:t>
                </a:r>
                <a:r>
                  <a:rPr lang="en-US" sz="1100" b="1" baseline="0">
                    <a:solidFill>
                      <a:sysClr val="windowText" lastClr="000000"/>
                    </a:solidFill>
                  </a:rPr>
                  <a:t> </a:t>
                </a:r>
                <a:r>
                  <a:rPr lang="en-US" sz="1100" b="1">
                    <a:solidFill>
                      <a:sysClr val="windowText" lastClr="000000"/>
                    </a:solidFill>
                  </a:rPr>
                  <a:t>Monthly Periods</a:t>
                </a: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cross"/>
        <c:minorTickMark val="cross"/>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78056560"/>
        <c:crosses val="autoZero"/>
        <c:crossBetween val="midCat"/>
        <c:majorUnit val="60"/>
      </c:valAx>
      <c:valAx>
        <c:axId val="678056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Interest Rate (%)</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0.00"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7805272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tx1"/>
              </a:solidFill>
              <a:prstDash val="dash"/>
              <a:round/>
            </a:ln>
            <a:effectLst/>
          </c:spPr>
          <c:marker>
            <c:symbol val="none"/>
          </c:marker>
          <c:xVal>
            <c:numRef>
              <c:f>'Treasury Example (with Math)'!$J$3:$J$57</c:f>
              <c:numCache>
                <c:formatCode>General</c:formatCode>
                <c:ptCount val="5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pt idx="18">
                  <c:v>24</c:v>
                </c:pt>
                <c:pt idx="19">
                  <c:v>25</c:v>
                </c:pt>
                <c:pt idx="20">
                  <c:v>26</c:v>
                </c:pt>
                <c:pt idx="21">
                  <c:v>27</c:v>
                </c:pt>
                <c:pt idx="22">
                  <c:v>28</c:v>
                </c:pt>
                <c:pt idx="23">
                  <c:v>29</c:v>
                </c:pt>
                <c:pt idx="24">
                  <c:v>30</c:v>
                </c:pt>
                <c:pt idx="25">
                  <c:v>31</c:v>
                </c:pt>
                <c:pt idx="26">
                  <c:v>32</c:v>
                </c:pt>
                <c:pt idx="27">
                  <c:v>33</c:v>
                </c:pt>
                <c:pt idx="28">
                  <c:v>34</c:v>
                </c:pt>
                <c:pt idx="29">
                  <c:v>35</c:v>
                </c:pt>
                <c:pt idx="30">
                  <c:v>36</c:v>
                </c:pt>
                <c:pt idx="31">
                  <c:v>37</c:v>
                </c:pt>
                <c:pt idx="32">
                  <c:v>38</c:v>
                </c:pt>
                <c:pt idx="33">
                  <c:v>39</c:v>
                </c:pt>
                <c:pt idx="34">
                  <c:v>40</c:v>
                </c:pt>
                <c:pt idx="35">
                  <c:v>41</c:v>
                </c:pt>
                <c:pt idx="36">
                  <c:v>42</c:v>
                </c:pt>
                <c:pt idx="37">
                  <c:v>43</c:v>
                </c:pt>
                <c:pt idx="38">
                  <c:v>44</c:v>
                </c:pt>
                <c:pt idx="39">
                  <c:v>45</c:v>
                </c:pt>
                <c:pt idx="40">
                  <c:v>46</c:v>
                </c:pt>
                <c:pt idx="41">
                  <c:v>47</c:v>
                </c:pt>
                <c:pt idx="42">
                  <c:v>48</c:v>
                </c:pt>
                <c:pt idx="43">
                  <c:v>49</c:v>
                </c:pt>
                <c:pt idx="44">
                  <c:v>50</c:v>
                </c:pt>
                <c:pt idx="45">
                  <c:v>51</c:v>
                </c:pt>
                <c:pt idx="46">
                  <c:v>52</c:v>
                </c:pt>
                <c:pt idx="47">
                  <c:v>53</c:v>
                </c:pt>
                <c:pt idx="48">
                  <c:v>54</c:v>
                </c:pt>
                <c:pt idx="49">
                  <c:v>55</c:v>
                </c:pt>
                <c:pt idx="50">
                  <c:v>56</c:v>
                </c:pt>
                <c:pt idx="51">
                  <c:v>57</c:v>
                </c:pt>
                <c:pt idx="52">
                  <c:v>58</c:v>
                </c:pt>
                <c:pt idx="53">
                  <c:v>59</c:v>
                </c:pt>
                <c:pt idx="54">
                  <c:v>60</c:v>
                </c:pt>
              </c:numCache>
            </c:numRef>
          </c:xVal>
          <c:yVal>
            <c:numRef>
              <c:f>'Treasury Example (with Math)'!$L$3:$L$57</c:f>
              <c:numCache>
                <c:formatCode>0.000%</c:formatCode>
                <c:ptCount val="55"/>
                <c:pt idx="0">
                  <c:v>4.4877665918662935E-2</c:v>
                </c:pt>
                <c:pt idx="1">
                  <c:v>4.4551732873682193E-2</c:v>
                </c:pt>
                <c:pt idx="2">
                  <c:v>4.4307349812393149E-2</c:v>
                </c:pt>
                <c:pt idx="3">
                  <c:v>4.4117313627688892E-2</c:v>
                </c:pt>
                <c:pt idx="4">
                  <c:v>4.3965309578932965E-2</c:v>
                </c:pt>
                <c:pt idx="5">
                  <c:v>4.3840959089653797E-2</c:v>
                </c:pt>
                <c:pt idx="6">
                  <c:v>4.3737344996594096E-2</c:v>
                </c:pt>
                <c:pt idx="7">
                  <c:v>4.3672209522813477E-2</c:v>
                </c:pt>
                <c:pt idx="8">
                  <c:v>4.3616382352008376E-2</c:v>
                </c:pt>
                <c:pt idx="9">
                  <c:v>4.3568001219536301E-2</c:v>
                </c:pt>
                <c:pt idx="10">
                  <c:v>4.3525669568507563E-2</c:v>
                </c:pt>
                <c:pt idx="11">
                  <c:v>4.3488319537733799E-2</c:v>
                </c:pt>
                <c:pt idx="12">
                  <c:v>4.3455120632662547E-2</c:v>
                </c:pt>
                <c:pt idx="13">
                  <c:v>4.3425417244492559E-2</c:v>
                </c:pt>
                <c:pt idx="14">
                  <c:v>4.3398684918080299E-2</c:v>
                </c:pt>
                <c:pt idx="15">
                  <c:v>4.3374499117663889E-2</c:v>
                </c:pt>
                <c:pt idx="16">
                  <c:v>4.3352512512864205E-2</c:v>
                </c:pt>
                <c:pt idx="17">
                  <c:v>4.3332438191380218E-2</c:v>
                </c:pt>
                <c:pt idx="18">
                  <c:v>4.3314037069314359E-2</c:v>
                </c:pt>
                <c:pt idx="19">
                  <c:v>4.3262681088084509E-2</c:v>
                </c:pt>
                <c:pt idx="20">
                  <c:v>4.3215277810690234E-2</c:v>
                </c:pt>
                <c:pt idx="21">
                  <c:v>4.3171387807653616E-2</c:v>
                </c:pt>
                <c:pt idx="22">
                  <c:v>4.3130634458234951E-2</c:v>
                </c:pt>
                <c:pt idx="23">
                  <c:v>4.3092693115829972E-2</c:v>
                </c:pt>
                <c:pt idx="24">
                  <c:v>4.3057282441341327E-2</c:v>
                </c:pt>
                <c:pt idx="25">
                  <c:v>4.3024157414778941E-2</c:v>
                </c:pt>
                <c:pt idx="26">
                  <c:v>4.2993103657783083E-2</c:v>
                </c:pt>
                <c:pt idx="27">
                  <c:v>4.2963932788870896E-2</c:v>
                </c:pt>
                <c:pt idx="28">
                  <c:v>4.2936478598708527E-2</c:v>
                </c:pt>
                <c:pt idx="29">
                  <c:v>4.2910593881334558E-2</c:v>
                </c:pt>
                <c:pt idx="30">
                  <c:v>4.2886147793703921E-2</c:v>
                </c:pt>
                <c:pt idx="31">
                  <c:v>4.2906715681984897E-2</c:v>
                </c:pt>
                <c:pt idx="32">
                  <c:v>4.2926201424010602E-2</c:v>
                </c:pt>
                <c:pt idx="33">
                  <c:v>4.2944688233759409E-2</c:v>
                </c:pt>
                <c:pt idx="34">
                  <c:v>4.2962251006549046E-2</c:v>
                </c:pt>
                <c:pt idx="35">
                  <c:v>4.2978957333175805E-2</c:v>
                </c:pt>
                <c:pt idx="36">
                  <c:v>4.2994868369233163E-2</c:v>
                </c:pt>
                <c:pt idx="37">
                  <c:v>4.3010039583157411E-2</c:v>
                </c:pt>
                <c:pt idx="38">
                  <c:v>4.3024521402308391E-2</c:v>
                </c:pt>
                <c:pt idx="39">
                  <c:v>4.303835977292203E-2</c:v>
                </c:pt>
                <c:pt idx="40">
                  <c:v>4.3051596647048607E-2</c:v>
                </c:pt>
                <c:pt idx="41">
                  <c:v>4.3064270407348726E-2</c:v>
                </c:pt>
                <c:pt idx="42">
                  <c:v>4.3076416238809978E-2</c:v>
                </c:pt>
                <c:pt idx="43">
                  <c:v>4.3088066454936902E-2</c:v>
                </c:pt>
                <c:pt idx="44">
                  <c:v>4.3099250784833565E-2</c:v>
                </c:pt>
                <c:pt idx="45">
                  <c:v>4.3109996626521818E-2</c:v>
                </c:pt>
                <c:pt idx="46">
                  <c:v>4.3120329271002511E-2</c:v>
                </c:pt>
                <c:pt idx="47">
                  <c:v>4.3130272101002509E-2</c:v>
                </c:pt>
                <c:pt idx="48">
                  <c:v>4.3139846767611623E-2</c:v>
                </c:pt>
                <c:pt idx="49">
                  <c:v>4.3149073347673816E-2</c:v>
                </c:pt>
                <c:pt idx="50">
                  <c:v>4.315797048431147E-2</c:v>
                </c:pt>
                <c:pt idx="51">
                  <c:v>4.3166555512650806E-2</c:v>
                </c:pt>
                <c:pt idx="52">
                  <c:v>4.3174844572571258E-2</c:v>
                </c:pt>
                <c:pt idx="53">
                  <c:v>4.3182852709964026E-2</c:v>
                </c:pt>
                <c:pt idx="54">
                  <c:v>4.3190593967880053E-2</c:v>
                </c:pt>
              </c:numCache>
            </c:numRef>
          </c:yVal>
          <c:smooth val="0"/>
          <c:extLst>
            <c:ext xmlns:c16="http://schemas.microsoft.com/office/drawing/2014/chart" uri="{C3380CC4-5D6E-409C-BE32-E72D297353CC}">
              <c16:uniqueId val="{00000000-6444-40C7-B9AA-B06B84AF4BFC}"/>
            </c:ext>
          </c:extLst>
        </c:ser>
        <c:ser>
          <c:idx val="1"/>
          <c:order val="1"/>
          <c:spPr>
            <a:ln w="19050" cap="rnd">
              <a:noFill/>
              <a:round/>
            </a:ln>
            <a:effectLst/>
          </c:spPr>
          <c:marker>
            <c:symbol val="circle"/>
            <c:size val="5"/>
            <c:spPr>
              <a:solidFill>
                <a:schemeClr val="accent1"/>
              </a:solidFill>
              <a:ln w="9525">
                <a:noFill/>
              </a:ln>
              <a:effectLst/>
            </c:spPr>
          </c:marker>
          <c:xVal>
            <c:numRef>
              <c:f>'Treasury Example (with Math)'!$J$3:$J$57</c:f>
              <c:numCache>
                <c:formatCode>General</c:formatCode>
                <c:ptCount val="5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pt idx="18">
                  <c:v>24</c:v>
                </c:pt>
                <c:pt idx="19">
                  <c:v>25</c:v>
                </c:pt>
                <c:pt idx="20">
                  <c:v>26</c:v>
                </c:pt>
                <c:pt idx="21">
                  <c:v>27</c:v>
                </c:pt>
                <c:pt idx="22">
                  <c:v>28</c:v>
                </c:pt>
                <c:pt idx="23">
                  <c:v>29</c:v>
                </c:pt>
                <c:pt idx="24">
                  <c:v>30</c:v>
                </c:pt>
                <c:pt idx="25">
                  <c:v>31</c:v>
                </c:pt>
                <c:pt idx="26">
                  <c:v>32</c:v>
                </c:pt>
                <c:pt idx="27">
                  <c:v>33</c:v>
                </c:pt>
                <c:pt idx="28">
                  <c:v>34</c:v>
                </c:pt>
                <c:pt idx="29">
                  <c:v>35</c:v>
                </c:pt>
                <c:pt idx="30">
                  <c:v>36</c:v>
                </c:pt>
                <c:pt idx="31">
                  <c:v>37</c:v>
                </c:pt>
                <c:pt idx="32">
                  <c:v>38</c:v>
                </c:pt>
                <c:pt idx="33">
                  <c:v>39</c:v>
                </c:pt>
                <c:pt idx="34">
                  <c:v>40</c:v>
                </c:pt>
                <c:pt idx="35">
                  <c:v>41</c:v>
                </c:pt>
                <c:pt idx="36">
                  <c:v>42</c:v>
                </c:pt>
                <c:pt idx="37">
                  <c:v>43</c:v>
                </c:pt>
                <c:pt idx="38">
                  <c:v>44</c:v>
                </c:pt>
                <c:pt idx="39">
                  <c:v>45</c:v>
                </c:pt>
                <c:pt idx="40">
                  <c:v>46</c:v>
                </c:pt>
                <c:pt idx="41">
                  <c:v>47</c:v>
                </c:pt>
                <c:pt idx="42">
                  <c:v>48</c:v>
                </c:pt>
                <c:pt idx="43">
                  <c:v>49</c:v>
                </c:pt>
                <c:pt idx="44">
                  <c:v>50</c:v>
                </c:pt>
                <c:pt idx="45">
                  <c:v>51</c:v>
                </c:pt>
                <c:pt idx="46">
                  <c:v>52</c:v>
                </c:pt>
                <c:pt idx="47">
                  <c:v>53</c:v>
                </c:pt>
                <c:pt idx="48">
                  <c:v>54</c:v>
                </c:pt>
                <c:pt idx="49">
                  <c:v>55</c:v>
                </c:pt>
                <c:pt idx="50">
                  <c:v>56</c:v>
                </c:pt>
                <c:pt idx="51">
                  <c:v>57</c:v>
                </c:pt>
                <c:pt idx="52">
                  <c:v>58</c:v>
                </c:pt>
                <c:pt idx="53">
                  <c:v>59</c:v>
                </c:pt>
                <c:pt idx="54">
                  <c:v>60</c:v>
                </c:pt>
              </c:numCache>
            </c:numRef>
          </c:xVal>
          <c:yVal>
            <c:numRef>
              <c:f>'Treasury Example (with Math)'!$K$3:$K$57</c:f>
              <c:numCache>
                <c:formatCode>0.000%</c:formatCode>
                <c:ptCount val="55"/>
                <c:pt idx="0">
                  <c:v>4.4400000000000002E-2</c:v>
                </c:pt>
                <c:pt idx="6">
                  <c:v>4.3299999999999998E-2</c:v>
                </c:pt>
                <c:pt idx="18">
                  <c:v>4.2900000000000001E-2</c:v>
                </c:pt>
                <c:pt idx="30">
                  <c:v>4.2500000000000003E-2</c:v>
                </c:pt>
                <c:pt idx="54">
                  <c:v>4.2800000000000005E-2</c:v>
                </c:pt>
              </c:numCache>
            </c:numRef>
          </c:yVal>
          <c:smooth val="0"/>
          <c:extLst>
            <c:ext xmlns:c16="http://schemas.microsoft.com/office/drawing/2014/chart" uri="{C3380CC4-5D6E-409C-BE32-E72D297353CC}">
              <c16:uniqueId val="{00000001-6444-40C7-B9AA-B06B84AF4BFC}"/>
            </c:ext>
          </c:extLst>
        </c:ser>
        <c:dLbls>
          <c:showLegendKey val="0"/>
          <c:showVal val="0"/>
          <c:showCatName val="0"/>
          <c:showSerName val="0"/>
          <c:showPercent val="0"/>
          <c:showBubbleSize val="0"/>
        </c:dLbls>
        <c:axId val="568418912"/>
        <c:axId val="568419872"/>
      </c:scatterChart>
      <c:valAx>
        <c:axId val="568418912"/>
        <c:scaling>
          <c:orientation val="minMax"/>
          <c:max val="72"/>
          <c:min val="0"/>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Future</a:t>
                </a:r>
                <a:r>
                  <a:rPr lang="en-US" sz="1100" b="1" baseline="0">
                    <a:solidFill>
                      <a:sysClr val="windowText" lastClr="000000"/>
                    </a:solidFill>
                  </a:rPr>
                  <a:t> Monthly Periods</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cross"/>
        <c:minorTickMark val="out"/>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68419872"/>
        <c:crosses val="autoZero"/>
        <c:crossBetween val="midCat"/>
        <c:majorUnit val="12"/>
        <c:minorUnit val="1"/>
      </c:valAx>
      <c:valAx>
        <c:axId val="56841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Interest Rate</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0.000%" sourceLinked="1"/>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68418912"/>
        <c:crosses val="autoZero"/>
        <c:crossBetween val="midCat"/>
        <c:majorUnit val="4.0000000000000013E-4"/>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0</xdr:colOff>
      <xdr:row>5</xdr:row>
      <xdr:rowOff>26521</xdr:rowOff>
    </xdr:from>
    <xdr:to>
      <xdr:col>21</xdr:col>
      <xdr:colOff>0</xdr:colOff>
      <xdr:row>21</xdr:row>
      <xdr:rowOff>1</xdr:rowOff>
    </xdr:to>
    <xdr:graphicFrame macro="">
      <xdr:nvGraphicFramePr>
        <xdr:cNvPr id="2" name="Chart 1">
          <a:extLst>
            <a:ext uri="{FF2B5EF4-FFF2-40B4-BE49-F238E27FC236}">
              <a16:creationId xmlns:a16="http://schemas.microsoft.com/office/drawing/2014/main" id="{6364C019-BED0-4B4B-BE6E-64D5DFF07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14942</xdr:colOff>
      <xdr:row>18</xdr:row>
      <xdr:rowOff>83324</xdr:rowOff>
    </xdr:from>
    <xdr:ext cx="2794000" cy="609013"/>
    <xdr:sp macro="" textlink="">
      <xdr:nvSpPr>
        <xdr:cNvPr id="3" name="TextBox 2">
          <a:extLst>
            <a:ext uri="{FF2B5EF4-FFF2-40B4-BE49-F238E27FC236}">
              <a16:creationId xmlns:a16="http://schemas.microsoft.com/office/drawing/2014/main" id="{57BA7076-9B83-5BB0-A9F7-E37FC601499B}"/>
            </a:ext>
          </a:extLst>
        </xdr:cNvPr>
        <xdr:cNvSpPr txBox="1"/>
      </xdr:nvSpPr>
      <xdr:spPr>
        <a:xfrm>
          <a:off x="689019" y="3414632"/>
          <a:ext cx="2794000" cy="609013"/>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Sourced these from:</a:t>
          </a:r>
        </a:p>
        <a:p>
          <a:r>
            <a:rPr lang="en-US">
              <a:hlinkClick xmlns:r="http://schemas.openxmlformats.org/officeDocument/2006/relationships" r:id=""/>
            </a:rPr>
            <a:t>Federal Reserve Board - H.15 - Selected Interest Rates (Daily) - November 19, 2024</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246529</xdr:colOff>
      <xdr:row>1</xdr:row>
      <xdr:rowOff>73025</xdr:rowOff>
    </xdr:from>
    <xdr:to>
      <xdr:col>8</xdr:col>
      <xdr:colOff>448235</xdr:colOff>
      <xdr:row>16</xdr:row>
      <xdr:rowOff>44824</xdr:rowOff>
    </xdr:to>
    <xdr:graphicFrame macro="">
      <xdr:nvGraphicFramePr>
        <xdr:cNvPr id="2" name="Chart 1">
          <a:extLst>
            <a:ext uri="{FF2B5EF4-FFF2-40B4-BE49-F238E27FC236}">
              <a16:creationId xmlns:a16="http://schemas.microsoft.com/office/drawing/2014/main" id="{8272D540-A259-432B-B157-A6EE5604C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a:extLst>
            <a:ext uri="{FF2B5EF4-FFF2-40B4-BE49-F238E27FC236}">
              <a16:creationId xmlns:a16="http://schemas.microsoft.com/office/drawing/2014/main" id="{224753C0-C70B-CE43-AF3A-AF8F24B99642}"/>
            </a:ext>
          </a:extLst>
        </xdr:cNvPr>
        <xdr:cNvSpPr/>
      </xdr:nvSpPr>
      <xdr:spPr>
        <a:xfrm>
          <a:off x="3727450" y="276225"/>
          <a:ext cx="316230"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361950</xdr:colOff>
      <xdr:row>4</xdr:row>
      <xdr:rowOff>85725</xdr:rowOff>
    </xdr:from>
    <xdr:to>
      <xdr:col>5</xdr:col>
      <xdr:colOff>944880</xdr:colOff>
      <xdr:row>6</xdr:row>
      <xdr:rowOff>123825</xdr:rowOff>
    </xdr:to>
    <xdr:sp macro="" textlink="">
      <xdr:nvSpPr>
        <xdr:cNvPr id="3" name="Arrow: Right 2">
          <a:extLst>
            <a:ext uri="{FF2B5EF4-FFF2-40B4-BE49-F238E27FC236}">
              <a16:creationId xmlns:a16="http://schemas.microsoft.com/office/drawing/2014/main" id="{E7D53E44-91F5-D940-9D3F-C94A3FBEF708}"/>
            </a:ext>
          </a:extLst>
        </xdr:cNvPr>
        <xdr:cNvSpPr/>
      </xdr:nvSpPr>
      <xdr:spPr>
        <a:xfrm>
          <a:off x="3727450" y="847725"/>
          <a:ext cx="316230"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15</xdr:row>
      <xdr:rowOff>0</xdr:rowOff>
    </xdr:from>
    <xdr:to>
      <xdr:col>11</xdr:col>
      <xdr:colOff>0</xdr:colOff>
      <xdr:row>24</xdr:row>
      <xdr:rowOff>69850</xdr:rowOff>
    </xdr:to>
    <xdr:grpSp>
      <xdr:nvGrpSpPr>
        <xdr:cNvPr id="7" name="Hint">
          <a:extLst>
            <a:ext uri="{FF2B5EF4-FFF2-40B4-BE49-F238E27FC236}">
              <a16:creationId xmlns:a16="http://schemas.microsoft.com/office/drawing/2014/main" id="{48C4A86F-4653-2666-5F77-063A6D9B77FF}"/>
            </a:ext>
          </a:extLst>
        </xdr:cNvPr>
        <xdr:cNvGrpSpPr/>
      </xdr:nvGrpSpPr>
      <xdr:grpSpPr>
        <a:xfrm>
          <a:off x="6629400" y="2857500"/>
          <a:ext cx="5524500" cy="1784350"/>
          <a:chOff x="6629400" y="2857500"/>
          <a:chExt cx="5524500" cy="1784350"/>
        </a:xfrm>
      </xdr:grpSpPr>
      <xdr:sp macro="" textlink="">
        <xdr:nvSpPr>
          <xdr:cNvPr id="4" name="Hint Title">
            <a:extLst>
              <a:ext uri="{FF2B5EF4-FFF2-40B4-BE49-F238E27FC236}">
                <a16:creationId xmlns:a16="http://schemas.microsoft.com/office/drawing/2014/main" id="{A3075BFD-8D8F-71E0-918F-6E109FE75B94}"/>
              </a:ext>
            </a:extLst>
          </xdr:cNvPr>
          <xdr:cNvSpPr txBox="1"/>
        </xdr:nvSpPr>
        <xdr:spPr>
          <a:xfrm>
            <a:off x="6629400" y="2857500"/>
            <a:ext cx="5524500" cy="260350"/>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en-US" sz="1100" b="0" i="0" u="none" strike="noStrike" kern="0" cap="none" spc="0" normalizeH="0" baseline="0" noProof="0">
                <a:ln>
                  <a:noFill/>
                </a:ln>
                <a:solidFill>
                  <a:srgbClr val="FFFFFF"/>
                </a:solidFill>
                <a:effectLst/>
                <a:uLnTx/>
                <a:uFillTx/>
                <a:latin typeface="Calibri" panose="020F0502020204030204"/>
              </a:rPr>
              <a:t>Describe with pandas</a:t>
            </a:r>
          </a:p>
        </xdr:txBody>
      </xdr:sp>
      <xdr:sp macro="" textlink="">
        <xdr:nvSpPr>
          <xdr:cNvPr id="5" name="Hint Text">
            <a:extLst>
              <a:ext uri="{FF2B5EF4-FFF2-40B4-BE49-F238E27FC236}">
                <a16:creationId xmlns:a16="http://schemas.microsoft.com/office/drawing/2014/main" id="{8E26170E-8249-50BD-AAB7-6669CE7D7A8E}"/>
              </a:ext>
            </a:extLst>
          </xdr:cNvPr>
          <xdr:cNvSpPr txBox="1"/>
        </xdr:nvSpPr>
        <xdr:spPr>
          <a:xfrm>
            <a:off x="6629400" y="3117850"/>
            <a:ext cx="5524500" cy="1524000"/>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en-US" sz="1100" b="0" i="0" u="none" strike="noStrike" kern="0" cap="none" spc="0" normalizeH="0" baseline="0" noProof="0">
                <a:ln>
                  <a:noFill/>
                </a:ln>
                <a:solidFill>
                  <a:sysClr val="windowText" lastClr="000000"/>
                </a:solidFill>
                <a:effectLst/>
                <a:uLnTx/>
                <a:uFillTx/>
                <a:latin typeface="Calibri" panose="020F0502020204030204"/>
              </a:rPr>
              <a:t>
Python in Excel uses the pandas library to create the DataFrame object in cell G3. Select the icon in the cell labeled DataFrame to see the output. Select the cell and expand the formula bar to see an example of how to create a DataFrame.
Select cell G6 and expand the formula bar to see an example of the pandas describe function in a Python formula.</a:t>
            </a:r>
          </a:p>
        </xdr:txBody>
      </xdr:sp>
      <xdr:sp macro="" textlink="">
        <xdr:nvSpPr>
          <xdr:cNvPr id="6" name="TextBox 5">
            <a:extLst>
              <a:ext uri="{FF2B5EF4-FFF2-40B4-BE49-F238E27FC236}">
                <a16:creationId xmlns:a16="http://schemas.microsoft.com/office/drawing/2014/main" id="{DA9B7C19-05B6-1F63-5022-5D07A7059CBF}"/>
              </a:ext>
            </a:extLst>
          </xdr:cNvPr>
          <xdr:cNvSpPr txBox="1"/>
        </xdr:nvSpPr>
        <xdr:spPr>
          <a:xfrm>
            <a:off x="6638925" y="3168650"/>
            <a:ext cx="5499100" cy="22860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en-US" sz="1100" b="1" i="0" u="none" strike="noStrike" kern="0" cap="none" spc="0" normalizeH="0" baseline="0" noProof="0">
                <a:ln>
                  <a:noFill/>
                </a:ln>
                <a:solidFill>
                  <a:sysClr val="windowText" lastClr="000000"/>
                </a:solidFill>
                <a:effectLst/>
                <a:uLnTx/>
                <a:uFillTx/>
                <a:latin typeface="Calibri" panose="020F0502020204030204"/>
              </a:rPr>
              <a:t>Tip!</a:t>
            </a:r>
          </a:p>
        </xdr:txBody>
      </xdr:sp>
    </xdr:grp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2" c="6">
    <v t="s"/>
    <v t="s">sepal_length</v>
    <v t="s">sepal_width</v>
    <v t="s">petal_length</v>
    <v t="s">petal_width</v>
    <v t="s">species</v>
    <v>0</v>
    <v>5.0999999999999996</v>
    <v>3.5</v>
    <v>1.4</v>
    <v>0.2</v>
    <v t="s">setosa</v>
    <v>1</v>
    <v>4.9000000000000004</v>
    <v>3</v>
    <v>1.4</v>
    <v>0.2</v>
    <v t="s">setosa</v>
    <v>2</v>
    <v>4.7</v>
    <v>3.2</v>
    <v>1.3</v>
    <v>0.2</v>
    <v t="s">setosa</v>
    <v>3</v>
    <v>4.5999999999999996</v>
    <v>3.1</v>
    <v>1.5</v>
    <v>0.2</v>
    <v t="s">setosa</v>
    <v>4</v>
    <v>5</v>
    <v>3.6</v>
    <v>1.4</v>
    <v>0.2</v>
    <v t="s">setosa</v>
    <v t="s">...</v>
    <v t="s">...</v>
    <v t="s">...</v>
    <v t="s">...</v>
    <v t="s">...</v>
    <v t="s">...</v>
    <v>145</v>
    <v>6.7</v>
    <v>3</v>
    <v>5.2</v>
    <v>2.2999999999999998</v>
    <v t="s">virginica</v>
    <v>146</v>
    <v>6.3</v>
    <v>2.5</v>
    <v>5</v>
    <v>1.9</v>
    <v t="s">virginica</v>
    <v>147</v>
    <v>6.5</v>
    <v>3</v>
    <v>5.2</v>
    <v>2</v>
    <v t="s">virginica</v>
    <v>148</v>
    <v>6.2</v>
    <v>3.4</v>
    <v>5.4</v>
    <v>2.2999999999999998</v>
    <v t="s">virginica</v>
    <v>149</v>
    <v>5.9</v>
    <v>3</v>
    <v>5.0999999999999996</v>
    <v>1.8</v>
    <v t="s">virginica</v>
  </a>
</arrayData>
</file>

<file path=xl/richData/rdrichvalue.xml><?xml version="1.0" encoding="utf-8"?>
<rvData xmlns="http://schemas.microsoft.com/office/spreadsheetml/2017/richdata" count="3">
  <rv s="0">
    <v>0</v>
  </rv>
  <rv s="1">
    <v>DataFrame</v>
    <v>1</v>
    <v>0</v>
  </rv>
  <rv s="2">
    <v>&lt;class 'pandas.core.frame.DataFrame'&gt;</v>
    <v>DataFrame</v>
    <v xml:space="preserve">     sepal_length  sepal_width  petal_length  petal_width    species
0             5.1          3.5           1.4          0.2     setosa
1             4.9          3.0           1.4          0.2     setosa
2             4.7          3.2           1.3 ...</v>
    <v>1</v>
    <v>2</v>
  </rv>
</rvData>
</file>

<file path=xl/richData/rdrichvaluestructure.xml><?xml version="1.0" encoding="utf-8"?>
<rvStructures xmlns="http://schemas.microsoft.com/office/spreadsheetml/2017/richdata" count="3">
  <s t="_array">
    <k n="array" t="a"/>
  </s>
  <s t="_entity">
    <k n="_DisplayString" t="s"/>
    <k n="_ViewInfo" t="spb"/>
    <k n="arrayPreview" t="r"/>
  </s>
  <s t="_python">
    <k n="Python_type" t="s"/>
    <k n="Python_typeName" t="s"/>
    <k n="Python_str" t="s"/>
    <k n="preview" t="r"/>
    <k n="_Provider" t="spb"/>
  </s>
</rvStructures>
</file>

<file path=xl/richData/rdsupportingpropertybag.xml><?xml version="1.0" encoding="utf-8"?>
<supportingPropertyBags xmlns="http://schemas.microsoft.com/office/spreadsheetml/2017/richdata2">
  <spbData count="3">
    <spb s="0">
      <v>150</v>
      <v>5</v>
      <v>DataFrame</v>
      <v>arrayPreview</v>
      <v>1</v>
    </spb>
    <spb s="1">
      <v>0</v>
    </spb>
    <spb s="2">
      <v>https://www.anaconda.com/excel</v>
      <v>https://res.cdn.office.net/officepysvc/prod-service/anacondalogo.png</v>
      <v>Python provided by Anaconda</v>
    </spb>
  </spbData>
</supportingPropertyBags>
</file>

<file path=xl/richData/rdsupportingpropertybagstructure.xml><?xml version="1.0" encoding="utf-8"?>
<spbStructures xmlns="http://schemas.microsoft.com/office/spreadsheetml/2017/richdata2" count="3">
  <s>
    <k n="drw" t="i"/>
    <k n="dcol" t="i"/>
    <k n="name" t="s"/>
    <k n="array" t="s"/>
    <k n="headers" t="b"/>
  </s>
  <s>
    <k n="ArrayCardInfo" t="spb"/>
  </s>
  <s>
    <k n="link" t="s"/>
    <k n="logo" t="s"/>
    <k n="name" t="s"/>
  </s>
</spb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95DE65-A4BD-834C-AE4F-4698E377738E}" name="IrisDataSet2" displayName="IrisDataSet2"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D48F5-A57E-4482-AB09-8A29CFCCEED3}">
  <dimension ref="B1:O367"/>
  <sheetViews>
    <sheetView tabSelected="1" zoomScale="130" zoomScaleNormal="130" workbookViewId="0">
      <selection activeCell="F4" sqref="F4"/>
    </sheetView>
  </sheetViews>
  <sheetFormatPr baseColWidth="10" defaultColWidth="8.83203125" defaultRowHeight="15" x14ac:dyDescent="0.2"/>
  <cols>
    <col min="2" max="2" width="11" bestFit="1" customWidth="1"/>
    <col min="4" max="4" width="9.5" bestFit="1" customWidth="1"/>
    <col min="5" max="5" width="8.1640625" bestFit="1" customWidth="1"/>
    <col min="7" max="7" width="7.83203125" bestFit="1" customWidth="1"/>
    <col min="8" max="8" width="6.5" bestFit="1" customWidth="1"/>
    <col min="9" max="9" width="11" bestFit="1" customWidth="1"/>
    <col min="10" max="10" width="8.6640625" bestFit="1" customWidth="1"/>
    <col min="11" max="11" width="12.6640625" bestFit="1" customWidth="1"/>
  </cols>
  <sheetData>
    <row r="1" spans="2:15" x14ac:dyDescent="0.2">
      <c r="B1" t="s">
        <v>45</v>
      </c>
      <c r="C1" t="s">
        <v>46</v>
      </c>
      <c r="D1" t="s">
        <v>47</v>
      </c>
      <c r="E1" t="s">
        <v>48</v>
      </c>
      <c r="F1" t="s">
        <v>49</v>
      </c>
      <c r="G1" t="s">
        <v>50</v>
      </c>
      <c r="H1" t="s">
        <v>51</v>
      </c>
      <c r="I1" t="s">
        <v>52</v>
      </c>
      <c r="J1" t="s">
        <v>53</v>
      </c>
      <c r="K1" t="s">
        <v>54</v>
      </c>
      <c r="L1" t="s">
        <v>55</v>
      </c>
      <c r="M1" t="s">
        <v>56</v>
      </c>
      <c r="N1" t="s">
        <v>57</v>
      </c>
      <c r="O1" t="s">
        <v>58</v>
      </c>
    </row>
    <row r="2" spans="2:15" x14ac:dyDescent="0.2">
      <c r="B2" s="5">
        <v>45614</v>
      </c>
      <c r="C2">
        <v>4.7</v>
      </c>
      <c r="E2">
        <v>4.63</v>
      </c>
      <c r="G2">
        <v>4.4400000000000004</v>
      </c>
      <c r="H2">
        <v>4.33</v>
      </c>
      <c r="I2">
        <v>4.29</v>
      </c>
      <c r="J2">
        <v>4.25</v>
      </c>
      <c r="K2">
        <v>4.28</v>
      </c>
      <c r="L2">
        <v>4.3499999999999996</v>
      </c>
      <c r="M2">
        <v>4.42</v>
      </c>
      <c r="N2">
        <v>4.7</v>
      </c>
      <c r="O2">
        <v>4.6100000000000003</v>
      </c>
    </row>
    <row r="3" spans="2:15" x14ac:dyDescent="0.2">
      <c r="B3" s="1" t="s">
        <v>24</v>
      </c>
    </row>
    <row r="4" spans="2:15" x14ac:dyDescent="0.2">
      <c r="B4" s="5">
        <v>45615</v>
      </c>
      <c r="G4" s="10" t="s">
        <v>44</v>
      </c>
    </row>
    <row r="6" spans="2:15" ht="16" thickBot="1" x14ac:dyDescent="0.25">
      <c r="B6" s="3" t="s">
        <v>19</v>
      </c>
      <c r="C6" s="3" t="s">
        <v>23</v>
      </c>
      <c r="D6" s="7" t="s">
        <v>22</v>
      </c>
      <c r="E6" s="7" t="s">
        <v>21</v>
      </c>
      <c r="G6" s="7" t="s">
        <v>20</v>
      </c>
      <c r="H6" s="3" t="s">
        <v>19</v>
      </c>
      <c r="I6" s="7" t="s">
        <v>18</v>
      </c>
      <c r="J6" s="6" t="s">
        <v>17</v>
      </c>
      <c r="K6" s="6" t="s">
        <v>16</v>
      </c>
    </row>
    <row r="7" spans="2:15" x14ac:dyDescent="0.2">
      <c r="B7" s="2">
        <f t="shared" ref="B7:B17" si="0">C7*12</f>
        <v>1</v>
      </c>
      <c r="C7" s="8">
        <f>1/12</f>
        <v>8.3333333333333329E-2</v>
      </c>
      <c r="D7" t="s">
        <v>26</v>
      </c>
      <c r="E7" s="4">
        <v>4.7</v>
      </c>
      <c r="G7" t="s">
        <v>35</v>
      </c>
      <c r="H7" s="2">
        <v>0</v>
      </c>
      <c r="I7" s="5">
        <v>45616</v>
      </c>
      <c r="J7" s="4">
        <v>4.4998300000000002</v>
      </c>
      <c r="K7" s="4">
        <v>4.4582166128363596</v>
      </c>
    </row>
    <row r="8" spans="2:15" x14ac:dyDescent="0.2">
      <c r="B8" s="2">
        <f t="shared" si="0"/>
        <v>3</v>
      </c>
      <c r="C8" s="2">
        <f>3/12</f>
        <v>0.25</v>
      </c>
      <c r="D8" t="s">
        <v>30</v>
      </c>
      <c r="E8" s="4">
        <v>4.63</v>
      </c>
      <c r="G8" t="s">
        <v>35</v>
      </c>
      <c r="H8" s="2">
        <v>1</v>
      </c>
      <c r="I8" s="5">
        <v>45646</v>
      </c>
      <c r="J8" s="4">
        <v>4.4998300000000002</v>
      </c>
      <c r="K8" s="4">
        <v>4.4584923342983798</v>
      </c>
    </row>
    <row r="9" spans="2:15" x14ac:dyDescent="0.2">
      <c r="B9" s="2">
        <f t="shared" si="0"/>
        <v>6</v>
      </c>
      <c r="C9" s="2">
        <f>6/12</f>
        <v>0.5</v>
      </c>
      <c r="D9" t="s">
        <v>33</v>
      </c>
      <c r="E9" s="4">
        <v>4.4400000000000004</v>
      </c>
      <c r="G9" t="s">
        <v>35</v>
      </c>
      <c r="H9" s="2">
        <v>2</v>
      </c>
      <c r="I9" s="5">
        <v>45677</v>
      </c>
      <c r="J9" s="4">
        <v>4.4998300000000002</v>
      </c>
      <c r="K9" s="4">
        <v>4.4584923342983798</v>
      </c>
    </row>
    <row r="10" spans="2:15" x14ac:dyDescent="0.2">
      <c r="B10" s="2">
        <f t="shared" si="0"/>
        <v>12</v>
      </c>
      <c r="C10" s="2">
        <v>1</v>
      </c>
      <c r="D10" t="s">
        <v>27</v>
      </c>
      <c r="E10" s="4">
        <v>4.33</v>
      </c>
      <c r="G10" t="s">
        <v>35</v>
      </c>
      <c r="H10" s="2">
        <v>3</v>
      </c>
      <c r="I10" s="5">
        <v>45708</v>
      </c>
      <c r="J10" s="4">
        <v>4.4998300000000002</v>
      </c>
      <c r="K10" s="4">
        <v>4.3034256872643404</v>
      </c>
    </row>
    <row r="11" spans="2:15" x14ac:dyDescent="0.2">
      <c r="B11" s="2">
        <f t="shared" si="0"/>
        <v>24</v>
      </c>
      <c r="C11" s="2">
        <v>2</v>
      </c>
      <c r="D11" t="s">
        <v>28</v>
      </c>
      <c r="E11" s="4">
        <v>4.29</v>
      </c>
      <c r="G11" t="s">
        <v>35</v>
      </c>
      <c r="H11" s="2">
        <v>4</v>
      </c>
      <c r="I11" s="5">
        <v>45736</v>
      </c>
      <c r="J11" s="4">
        <v>4.46315928431651</v>
      </c>
      <c r="K11" s="4">
        <v>4.3044535644661499</v>
      </c>
    </row>
    <row r="12" spans="2:15" x14ac:dyDescent="0.2">
      <c r="B12" s="2">
        <f t="shared" si="0"/>
        <v>36</v>
      </c>
      <c r="C12" s="2">
        <v>3</v>
      </c>
      <c r="D12" t="s">
        <v>31</v>
      </c>
      <c r="E12" s="4">
        <v>4.25</v>
      </c>
      <c r="G12" t="s">
        <v>35</v>
      </c>
      <c r="H12" s="2">
        <v>5</v>
      </c>
      <c r="I12" s="5">
        <v>45768</v>
      </c>
      <c r="J12" s="4">
        <v>4.4377969225801701</v>
      </c>
      <c r="K12" s="4">
        <v>4.3036826258898104</v>
      </c>
    </row>
    <row r="13" spans="2:15" x14ac:dyDescent="0.2">
      <c r="B13" s="2">
        <f t="shared" si="0"/>
        <v>60</v>
      </c>
      <c r="C13" s="2">
        <v>5</v>
      </c>
      <c r="D13" t="s">
        <v>32</v>
      </c>
      <c r="E13" s="4">
        <v>4.28</v>
      </c>
      <c r="G13" t="s">
        <v>35</v>
      </c>
      <c r="H13" s="2">
        <v>6</v>
      </c>
      <c r="I13" s="5">
        <v>45797</v>
      </c>
      <c r="J13" s="4">
        <v>4.4225599999999901</v>
      </c>
      <c r="K13" s="4">
        <v>4.14471031732488</v>
      </c>
    </row>
    <row r="14" spans="2:15" x14ac:dyDescent="0.2">
      <c r="B14" s="2">
        <f t="shared" si="0"/>
        <v>84</v>
      </c>
      <c r="C14" s="2">
        <v>7</v>
      </c>
      <c r="D14" t="s">
        <v>34</v>
      </c>
      <c r="E14" s="4">
        <v>4.3499999999999996</v>
      </c>
      <c r="G14" t="s">
        <v>35</v>
      </c>
      <c r="H14" s="2">
        <v>7</v>
      </c>
      <c r="I14" s="5">
        <v>45828</v>
      </c>
      <c r="J14" s="4">
        <v>4.3871350995703402</v>
      </c>
      <c r="K14" s="4">
        <v>4.14471031732488</v>
      </c>
    </row>
    <row r="15" spans="2:15" x14ac:dyDescent="0.2">
      <c r="B15" s="2">
        <f t="shared" si="0"/>
        <v>120</v>
      </c>
      <c r="C15" s="9">
        <v>10</v>
      </c>
      <c r="D15" t="s">
        <v>25</v>
      </c>
      <c r="E15" s="4">
        <v>4.42</v>
      </c>
      <c r="G15" t="s">
        <v>35</v>
      </c>
      <c r="H15" s="2">
        <v>8</v>
      </c>
      <c r="I15" s="5">
        <v>45859</v>
      </c>
      <c r="J15" s="4">
        <v>4.3607526404025903</v>
      </c>
      <c r="K15" s="4">
        <v>4.1444720178058798</v>
      </c>
    </row>
    <row r="16" spans="2:15" x14ac:dyDescent="0.2">
      <c r="B16" s="2">
        <f t="shared" si="0"/>
        <v>240</v>
      </c>
      <c r="C16" s="2">
        <v>20</v>
      </c>
      <c r="D16" t="s">
        <v>36</v>
      </c>
      <c r="E16" s="4">
        <v>4.7</v>
      </c>
      <c r="G16" t="s">
        <v>35</v>
      </c>
      <c r="H16" s="2">
        <v>9</v>
      </c>
      <c r="I16" s="5">
        <v>45889</v>
      </c>
      <c r="J16" s="4">
        <v>4.3409282906032898</v>
      </c>
      <c r="K16" s="4">
        <v>4.1451869711563401</v>
      </c>
    </row>
    <row r="17" spans="2:11" x14ac:dyDescent="0.2">
      <c r="B17" s="2">
        <f t="shared" si="0"/>
        <v>360</v>
      </c>
      <c r="C17" s="2">
        <v>30</v>
      </c>
      <c r="D17" t="s">
        <v>29</v>
      </c>
      <c r="E17" s="4">
        <v>4.6100000000000003</v>
      </c>
      <c r="G17" t="s">
        <v>35</v>
      </c>
      <c r="H17" s="2">
        <v>10</v>
      </c>
      <c r="I17" s="5">
        <v>45922</v>
      </c>
      <c r="J17" s="4">
        <v>4.3236127116420802</v>
      </c>
      <c r="K17" s="4">
        <v>4.1439954735537201</v>
      </c>
    </row>
    <row r="18" spans="2:11" x14ac:dyDescent="0.2">
      <c r="B18" s="2"/>
      <c r="C18" s="2"/>
      <c r="E18" s="4"/>
      <c r="G18" t="s">
        <v>35</v>
      </c>
      <c r="H18" s="2">
        <v>11</v>
      </c>
      <c r="I18" s="5">
        <v>45950</v>
      </c>
      <c r="J18" s="4">
        <v>4.3116048375542597</v>
      </c>
      <c r="K18" s="4">
        <v>4.14471031732488</v>
      </c>
    </row>
    <row r="19" spans="2:11" x14ac:dyDescent="0.2">
      <c r="B19" s="2"/>
      <c r="C19" s="2"/>
      <c r="E19" s="4"/>
      <c r="G19" t="s">
        <v>35</v>
      </c>
      <c r="H19" s="2">
        <v>12</v>
      </c>
      <c r="I19" s="5">
        <v>45981</v>
      </c>
      <c r="J19" s="4">
        <v>4.3004600000000197</v>
      </c>
      <c r="K19" s="4">
        <v>4.1736469761184303</v>
      </c>
    </row>
    <row r="20" spans="2:11" x14ac:dyDescent="0.2">
      <c r="B20" s="2"/>
      <c r="C20" s="2"/>
      <c r="E20" s="4"/>
      <c r="G20" t="s">
        <v>35</v>
      </c>
      <c r="H20" s="2">
        <v>13</v>
      </c>
      <c r="I20" s="5">
        <v>46013</v>
      </c>
      <c r="J20" s="4">
        <v>4.2931359257550197</v>
      </c>
      <c r="K20" s="4">
        <v>4.1729221505410203</v>
      </c>
    </row>
    <row r="21" spans="2:11" x14ac:dyDescent="0.2">
      <c r="B21" s="2"/>
      <c r="C21" s="2"/>
      <c r="E21" s="4"/>
      <c r="G21" t="s">
        <v>35</v>
      </c>
      <c r="H21" s="2">
        <v>14</v>
      </c>
      <c r="I21" s="5">
        <v>46042</v>
      </c>
      <c r="J21" s="4">
        <v>4.28744909643894</v>
      </c>
      <c r="K21" s="4">
        <v>4.1734053489477203</v>
      </c>
    </row>
    <row r="22" spans="2:11" x14ac:dyDescent="0.2">
      <c r="B22" s="2"/>
      <c r="C22" s="2"/>
      <c r="E22" s="4"/>
      <c r="G22" t="s">
        <v>35</v>
      </c>
      <c r="H22" s="2">
        <v>15</v>
      </c>
      <c r="I22" s="5">
        <v>46073</v>
      </c>
      <c r="J22" s="4">
        <v>4.2821683351244904</v>
      </c>
      <c r="K22" s="4">
        <v>4.1726805793021402</v>
      </c>
    </row>
    <row r="23" spans="2:11" x14ac:dyDescent="0.2">
      <c r="B23" s="2"/>
      <c r="C23" s="2"/>
      <c r="E23" s="4"/>
      <c r="G23" t="s">
        <v>35</v>
      </c>
      <c r="H23" s="2">
        <v>16</v>
      </c>
      <c r="I23" s="5">
        <v>46101</v>
      </c>
      <c r="J23" s="4">
        <v>4.2779789463015696</v>
      </c>
      <c r="K23" s="4">
        <v>4.1734053489474601</v>
      </c>
    </row>
    <row r="24" spans="2:11" x14ac:dyDescent="0.2">
      <c r="B24" s="2"/>
      <c r="C24" s="2"/>
      <c r="E24" s="4"/>
      <c r="G24" t="s">
        <v>35</v>
      </c>
      <c r="H24" s="2">
        <v>17</v>
      </c>
      <c r="I24" s="5">
        <v>46132</v>
      </c>
      <c r="J24" s="4">
        <v>4.2738711205729398</v>
      </c>
      <c r="K24" s="4">
        <v>4.1731637404223196</v>
      </c>
    </row>
    <row r="25" spans="2:11" x14ac:dyDescent="0.2">
      <c r="B25" s="2"/>
      <c r="C25" s="2"/>
      <c r="E25" s="4"/>
      <c r="G25" t="s">
        <v>35</v>
      </c>
      <c r="H25" s="2">
        <v>18</v>
      </c>
      <c r="I25" s="5">
        <v>46162</v>
      </c>
      <c r="J25" s="4">
        <v>4.2703400000000196</v>
      </c>
      <c r="K25" s="4">
        <v>4.1669391687895097</v>
      </c>
    </row>
    <row r="26" spans="2:11" x14ac:dyDescent="0.2">
      <c r="B26" s="2"/>
      <c r="C26" s="2"/>
      <c r="E26" s="4"/>
      <c r="G26" t="s">
        <v>35</v>
      </c>
      <c r="H26" s="2">
        <v>19</v>
      </c>
      <c r="I26" s="5">
        <v>46195</v>
      </c>
      <c r="J26" s="4">
        <v>4.2664754713104696</v>
      </c>
      <c r="K26" s="4">
        <v>4.1657351426106697</v>
      </c>
    </row>
    <row r="27" spans="2:11" x14ac:dyDescent="0.2">
      <c r="B27" s="2"/>
      <c r="C27" s="2"/>
      <c r="E27" s="4"/>
      <c r="G27" t="s">
        <v>35</v>
      </c>
      <c r="H27" s="2">
        <v>20</v>
      </c>
      <c r="I27" s="5">
        <v>46223</v>
      </c>
      <c r="J27" s="4">
        <v>4.2635260464589697</v>
      </c>
      <c r="K27" s="4">
        <v>4.16645750266155</v>
      </c>
    </row>
    <row r="28" spans="2:11" x14ac:dyDescent="0.2">
      <c r="G28" t="s">
        <v>35</v>
      </c>
      <c r="H28" s="2">
        <v>21</v>
      </c>
      <c r="I28" s="5">
        <v>46254</v>
      </c>
      <c r="J28" s="4">
        <v>4.2605626306256204</v>
      </c>
      <c r="K28" s="4">
        <v>4.1666983264485298</v>
      </c>
    </row>
    <row r="29" spans="2:11" x14ac:dyDescent="0.2">
      <c r="G29" t="s">
        <v>35</v>
      </c>
      <c r="H29" s="2">
        <v>22</v>
      </c>
      <c r="I29" s="5">
        <v>46286</v>
      </c>
      <c r="J29" s="4">
        <v>4.2577912978805497</v>
      </c>
      <c r="K29" s="4">
        <v>4.1659759107444199</v>
      </c>
    </row>
    <row r="30" spans="2:11" x14ac:dyDescent="0.2">
      <c r="G30" t="s">
        <v>35</v>
      </c>
      <c r="H30" s="2">
        <v>23</v>
      </c>
      <c r="I30" s="5">
        <v>46315</v>
      </c>
      <c r="J30" s="4">
        <v>4.2554989801549601</v>
      </c>
      <c r="K30" s="4">
        <v>4.16645750266155</v>
      </c>
    </row>
    <row r="31" spans="2:11" x14ac:dyDescent="0.2">
      <c r="G31" t="s">
        <v>35</v>
      </c>
      <c r="H31" s="2">
        <v>24</v>
      </c>
      <c r="I31" s="5">
        <v>46346</v>
      </c>
      <c r="J31" s="4">
        <v>4.2532500000000102</v>
      </c>
      <c r="K31" s="4">
        <v>4.1113599634731601</v>
      </c>
    </row>
    <row r="32" spans="2:11" x14ac:dyDescent="0.2">
      <c r="G32" t="s">
        <v>35</v>
      </c>
      <c r="H32" s="2">
        <v>25</v>
      </c>
      <c r="I32" s="5">
        <v>46377</v>
      </c>
      <c r="J32" s="4">
        <v>4.2489002689582103</v>
      </c>
      <c r="K32" s="4">
        <v>4.1111254811613396</v>
      </c>
    </row>
    <row r="33" spans="7:11" x14ac:dyDescent="0.2">
      <c r="G33" t="s">
        <v>35</v>
      </c>
      <c r="H33" s="2">
        <v>26</v>
      </c>
      <c r="I33" s="5">
        <v>46407</v>
      </c>
      <c r="J33" s="4">
        <v>4.2450155501615203</v>
      </c>
      <c r="K33" s="4">
        <v>4.1118289815796896</v>
      </c>
    </row>
    <row r="34" spans="7:11" x14ac:dyDescent="0.2">
      <c r="G34" t="s">
        <v>35</v>
      </c>
      <c r="H34" s="2">
        <v>27</v>
      </c>
      <c r="I34" s="5">
        <v>46440</v>
      </c>
      <c r="J34" s="4">
        <v>4.2410691475359004</v>
      </c>
      <c r="K34" s="4">
        <v>4.1106565700124396</v>
      </c>
    </row>
    <row r="35" spans="7:11" x14ac:dyDescent="0.2">
      <c r="G35" t="s">
        <v>35</v>
      </c>
      <c r="H35" s="2">
        <v>28</v>
      </c>
      <c r="I35" s="5">
        <v>46468</v>
      </c>
      <c r="J35" s="4">
        <v>4.2379604757561298</v>
      </c>
      <c r="K35" s="4">
        <v>4.11089101667483</v>
      </c>
    </row>
    <row r="36" spans="7:11" x14ac:dyDescent="0.2">
      <c r="G36" t="s">
        <v>35</v>
      </c>
      <c r="H36" s="2">
        <v>29</v>
      </c>
      <c r="I36" s="5">
        <v>46497</v>
      </c>
      <c r="J36" s="4">
        <v>4.2349491368603802</v>
      </c>
      <c r="K36" s="4">
        <v>4.11112548116136</v>
      </c>
    </row>
    <row r="37" spans="7:11" x14ac:dyDescent="0.2">
      <c r="G37" t="s">
        <v>35</v>
      </c>
      <c r="H37" s="2">
        <v>30</v>
      </c>
      <c r="I37" s="5">
        <v>46527</v>
      </c>
      <c r="J37" s="4">
        <v>4.2320357523355101</v>
      </c>
      <c r="K37" s="4">
        <v>4.1115944636120796</v>
      </c>
    </row>
    <row r="38" spans="7:11" x14ac:dyDescent="0.2">
      <c r="G38" t="s">
        <v>35</v>
      </c>
      <c r="H38" s="2">
        <v>31</v>
      </c>
      <c r="I38" s="5">
        <v>46559</v>
      </c>
      <c r="J38" s="4">
        <v>4.2291325014722796</v>
      </c>
      <c r="K38" s="4">
        <v>4.11089101667483</v>
      </c>
    </row>
    <row r="39" spans="7:11" x14ac:dyDescent="0.2">
      <c r="G39" t="s">
        <v>35</v>
      </c>
      <c r="H39" s="2">
        <v>32</v>
      </c>
      <c r="I39" s="5">
        <v>46588</v>
      </c>
      <c r="J39" s="4">
        <v>4.2266665814513003</v>
      </c>
      <c r="K39" s="4">
        <v>4.1113599634731797</v>
      </c>
    </row>
    <row r="40" spans="7:11" x14ac:dyDescent="0.2">
      <c r="G40" t="s">
        <v>35</v>
      </c>
      <c r="H40" s="2">
        <v>33</v>
      </c>
      <c r="I40" s="5">
        <v>46619</v>
      </c>
      <c r="J40" s="4">
        <v>4.2241883139297904</v>
      </c>
      <c r="K40" s="4">
        <v>4.1113599634734204</v>
      </c>
    </row>
    <row r="41" spans="7:11" x14ac:dyDescent="0.2">
      <c r="G41" t="s">
        <v>35</v>
      </c>
      <c r="H41" s="2">
        <v>34</v>
      </c>
      <c r="I41" s="5">
        <v>46650</v>
      </c>
      <c r="J41" s="4">
        <v>4.2218586740111697</v>
      </c>
      <c r="K41" s="4">
        <v>4.1111254811613396</v>
      </c>
    </row>
    <row r="42" spans="7:11" x14ac:dyDescent="0.2">
      <c r="G42" t="s">
        <v>35</v>
      </c>
      <c r="H42" s="2">
        <v>35</v>
      </c>
      <c r="I42" s="5">
        <v>46680</v>
      </c>
      <c r="J42" s="4">
        <v>4.2197334587372302</v>
      </c>
      <c r="K42" s="4">
        <v>4.1118289815796896</v>
      </c>
    </row>
    <row r="43" spans="7:11" x14ac:dyDescent="0.2">
      <c r="G43" t="s">
        <v>35</v>
      </c>
      <c r="H43" s="2">
        <v>36</v>
      </c>
      <c r="I43" s="5">
        <v>46713</v>
      </c>
      <c r="J43" s="4">
        <v>4.2175299999999796</v>
      </c>
      <c r="K43" s="4">
        <v>4.24063703007534</v>
      </c>
    </row>
    <row r="44" spans="7:11" x14ac:dyDescent="0.2">
      <c r="G44" t="s">
        <v>35</v>
      </c>
      <c r="H44" s="2">
        <v>37</v>
      </c>
      <c r="I44" s="5">
        <v>46741</v>
      </c>
      <c r="J44" s="4">
        <v>4.21905438360786</v>
      </c>
      <c r="K44" s="4">
        <v>4.2413855874622399</v>
      </c>
    </row>
    <row r="45" spans="7:11" x14ac:dyDescent="0.2">
      <c r="G45" t="s">
        <v>35</v>
      </c>
      <c r="H45" s="2">
        <v>38</v>
      </c>
      <c r="I45" s="5">
        <v>46772</v>
      </c>
      <c r="J45" s="4">
        <v>4.2206559688188001</v>
      </c>
      <c r="K45" s="4">
        <v>4.2416351457306298</v>
      </c>
    </row>
    <row r="46" spans="7:11" x14ac:dyDescent="0.2">
      <c r="G46" t="s">
        <v>35</v>
      </c>
      <c r="H46" s="2">
        <v>39</v>
      </c>
      <c r="I46" s="5">
        <v>46804</v>
      </c>
      <c r="J46" s="4">
        <v>4.2222215579001103</v>
      </c>
      <c r="K46" s="4">
        <v>4.24063703007534</v>
      </c>
    </row>
    <row r="47" spans="7:11" x14ac:dyDescent="0.2">
      <c r="G47" t="s">
        <v>35</v>
      </c>
      <c r="H47" s="2">
        <v>40</v>
      </c>
      <c r="I47" s="5">
        <v>46832</v>
      </c>
      <c r="J47" s="4">
        <v>4.2235238642117903</v>
      </c>
      <c r="K47" s="4">
        <v>4.2413855874622399</v>
      </c>
    </row>
    <row r="48" spans="7:11" x14ac:dyDescent="0.2">
      <c r="G48" t="s">
        <v>35</v>
      </c>
      <c r="H48" s="2">
        <v>41</v>
      </c>
      <c r="I48" s="5">
        <v>46863</v>
      </c>
      <c r="J48" s="4">
        <v>4.2248974938103903</v>
      </c>
      <c r="K48" s="4">
        <v>4.2416351457306298</v>
      </c>
    </row>
    <row r="49" spans="7:11" x14ac:dyDescent="0.2">
      <c r="G49" t="s">
        <v>35</v>
      </c>
      <c r="H49" s="2">
        <v>42</v>
      </c>
      <c r="I49" s="5">
        <v>46895</v>
      </c>
      <c r="J49" s="4">
        <v>4.2262455992131596</v>
      </c>
      <c r="K49" s="4">
        <v>4.2408865296363896</v>
      </c>
    </row>
    <row r="50" spans="7:11" x14ac:dyDescent="0.2">
      <c r="G50" t="s">
        <v>35</v>
      </c>
      <c r="H50" s="2">
        <v>43</v>
      </c>
      <c r="I50" s="5">
        <v>46924</v>
      </c>
      <c r="J50" s="4">
        <v>4.2274103506372702</v>
      </c>
      <c r="K50" s="4">
        <v>4.2411360487647203</v>
      </c>
    </row>
    <row r="51" spans="7:11" x14ac:dyDescent="0.2">
      <c r="G51" t="s">
        <v>35</v>
      </c>
      <c r="H51" s="2">
        <v>44</v>
      </c>
      <c r="I51" s="5">
        <v>46954</v>
      </c>
      <c r="J51" s="4">
        <v>4.2285621408958196</v>
      </c>
      <c r="K51" s="4">
        <v>4.2416351457306298</v>
      </c>
    </row>
    <row r="52" spans="7:11" x14ac:dyDescent="0.2">
      <c r="G52" t="s">
        <v>35</v>
      </c>
      <c r="H52" s="2">
        <v>45</v>
      </c>
      <c r="I52" s="5">
        <v>46986</v>
      </c>
      <c r="J52" s="4">
        <v>4.2297351240454502</v>
      </c>
      <c r="K52" s="4">
        <v>4.2411360487649903</v>
      </c>
    </row>
    <row r="53" spans="7:11" x14ac:dyDescent="0.2">
      <c r="G53" t="s">
        <v>35</v>
      </c>
      <c r="H53" s="2">
        <v>46</v>
      </c>
      <c r="I53" s="5">
        <v>47016</v>
      </c>
      <c r="J53" s="4">
        <v>4.2307861017236696</v>
      </c>
      <c r="K53" s="4">
        <v>4.2411360487647203</v>
      </c>
    </row>
    <row r="54" spans="7:11" x14ac:dyDescent="0.2">
      <c r="G54" t="s">
        <v>35</v>
      </c>
      <c r="H54" s="2">
        <v>47</v>
      </c>
      <c r="I54" s="5">
        <v>47046</v>
      </c>
      <c r="J54" s="4">
        <v>4.23179298750913</v>
      </c>
      <c r="K54" s="4">
        <v>4.2413855874622399</v>
      </c>
    </row>
    <row r="55" spans="7:11" x14ac:dyDescent="0.2">
      <c r="G55" t="s">
        <v>35</v>
      </c>
      <c r="H55" s="2">
        <v>48</v>
      </c>
      <c r="I55" s="5">
        <v>47077</v>
      </c>
      <c r="J55" s="4">
        <v>4.2327900000000103</v>
      </c>
      <c r="K55" s="4">
        <v>4.2528687419955702</v>
      </c>
    </row>
    <row r="56" spans="7:11" x14ac:dyDescent="0.2">
      <c r="G56" t="s">
        <v>35</v>
      </c>
      <c r="H56" s="2">
        <v>49</v>
      </c>
      <c r="I56" s="5">
        <v>47107</v>
      </c>
      <c r="J56" s="4">
        <v>4.23395559857211</v>
      </c>
      <c r="K56" s="4">
        <v>4.2536215626019098</v>
      </c>
    </row>
    <row r="57" spans="7:11" x14ac:dyDescent="0.2">
      <c r="G57" t="s">
        <v>35</v>
      </c>
      <c r="H57" s="2">
        <v>50</v>
      </c>
      <c r="I57" s="5">
        <v>47140</v>
      </c>
      <c r="J57" s="4">
        <v>4.2351847615955203</v>
      </c>
      <c r="K57" s="4">
        <v>4.2526178412594904</v>
      </c>
    </row>
    <row r="58" spans="7:11" x14ac:dyDescent="0.2">
      <c r="G58" t="s">
        <v>35</v>
      </c>
      <c r="H58" s="2">
        <v>51</v>
      </c>
      <c r="I58" s="5">
        <v>47169</v>
      </c>
      <c r="J58" s="4">
        <v>4.2362218174373503</v>
      </c>
      <c r="K58" s="4">
        <v>4.25236696025339</v>
      </c>
    </row>
    <row r="59" spans="7:11" x14ac:dyDescent="0.2">
      <c r="G59" t="s">
        <v>35</v>
      </c>
      <c r="H59" s="2">
        <v>52</v>
      </c>
      <c r="I59" s="5">
        <v>47197</v>
      </c>
      <c r="J59" s="4">
        <v>4.2371870176336897</v>
      </c>
      <c r="K59" s="4">
        <v>4.2531196624634404</v>
      </c>
    </row>
    <row r="60" spans="7:11" x14ac:dyDescent="0.2">
      <c r="G60" t="s">
        <v>35</v>
      </c>
      <c r="H60" s="2">
        <v>53</v>
      </c>
      <c r="I60" s="5">
        <v>47228</v>
      </c>
      <c r="J60" s="4">
        <v>4.2382165253430903</v>
      </c>
      <c r="K60" s="4">
        <v>4.2531196624634404</v>
      </c>
    </row>
    <row r="61" spans="7:11" x14ac:dyDescent="0.2">
      <c r="G61" t="s">
        <v>35</v>
      </c>
      <c r="H61" s="2">
        <v>54</v>
      </c>
      <c r="I61" s="5">
        <v>47259</v>
      </c>
      <c r="J61" s="4">
        <v>4.2392071886043796</v>
      </c>
      <c r="K61" s="4">
        <v>4.2528687419955702</v>
      </c>
    </row>
    <row r="62" spans="7:11" x14ac:dyDescent="0.2">
      <c r="G62" t="s">
        <v>35</v>
      </c>
      <c r="H62" s="2">
        <v>55</v>
      </c>
      <c r="I62" s="5">
        <v>47289</v>
      </c>
      <c r="J62" s="4">
        <v>4.2401309434941599</v>
      </c>
      <c r="K62" s="4">
        <v>4.2528687419955702</v>
      </c>
    </row>
    <row r="63" spans="7:11" x14ac:dyDescent="0.2">
      <c r="G63" t="s">
        <v>35</v>
      </c>
      <c r="H63" s="2">
        <v>56</v>
      </c>
      <c r="I63" s="5">
        <v>47319</v>
      </c>
      <c r="J63" s="4">
        <v>4.2410221566636004</v>
      </c>
      <c r="K63" s="4">
        <v>4.2531196624636998</v>
      </c>
    </row>
    <row r="64" spans="7:11" x14ac:dyDescent="0.2">
      <c r="G64" t="s">
        <v>35</v>
      </c>
      <c r="H64" s="2">
        <v>57</v>
      </c>
      <c r="I64" s="5">
        <v>47350</v>
      </c>
      <c r="J64" s="4">
        <v>4.2419106839605796</v>
      </c>
      <c r="K64" s="4">
        <v>4.2531196624636998</v>
      </c>
    </row>
    <row r="65" spans="7:11" x14ac:dyDescent="0.2">
      <c r="G65" t="s">
        <v>35</v>
      </c>
      <c r="H65" s="2">
        <v>58</v>
      </c>
      <c r="I65" s="5">
        <v>47381</v>
      </c>
      <c r="J65" s="4">
        <v>4.2427680031980097</v>
      </c>
      <c r="K65" s="4">
        <v>4.2533706026648597</v>
      </c>
    </row>
    <row r="66" spans="7:11" x14ac:dyDescent="0.2">
      <c r="G66" t="s">
        <v>35</v>
      </c>
      <c r="H66" s="2">
        <v>59</v>
      </c>
      <c r="I66" s="5">
        <v>47413</v>
      </c>
      <c r="J66" s="4">
        <v>4.2436219556480497</v>
      </c>
      <c r="K66" s="4">
        <v>4.2526178412594904</v>
      </c>
    </row>
    <row r="67" spans="7:11" x14ac:dyDescent="0.2">
      <c r="G67" t="s">
        <v>35</v>
      </c>
      <c r="H67" s="2">
        <v>60</v>
      </c>
      <c r="I67" s="5">
        <v>47442</v>
      </c>
      <c r="J67" s="4">
        <v>4.2443700000000204</v>
      </c>
      <c r="K67" s="4">
        <v>4.4607820916129501</v>
      </c>
    </row>
    <row r="68" spans="7:11" x14ac:dyDescent="0.2">
      <c r="G68" t="s">
        <v>35</v>
      </c>
      <c r="H68" s="2">
        <v>61</v>
      </c>
      <c r="I68" s="5">
        <v>47472</v>
      </c>
      <c r="J68" s="4">
        <v>4.2485388560689996</v>
      </c>
      <c r="K68" s="4">
        <v>4.4613341917640801</v>
      </c>
    </row>
    <row r="69" spans="7:11" x14ac:dyDescent="0.2">
      <c r="G69" t="s">
        <v>35</v>
      </c>
      <c r="H69" s="2">
        <v>62</v>
      </c>
      <c r="I69" s="5">
        <v>47504</v>
      </c>
      <c r="J69" s="4">
        <v>4.2528396973210203</v>
      </c>
      <c r="K69" s="4">
        <v>4.4607820916129999</v>
      </c>
    </row>
    <row r="70" spans="7:11" x14ac:dyDescent="0.2">
      <c r="G70" t="s">
        <v>35</v>
      </c>
      <c r="H70" s="2">
        <v>63</v>
      </c>
      <c r="I70" s="5">
        <v>47534</v>
      </c>
      <c r="J70" s="4">
        <v>4.2567414773236196</v>
      </c>
      <c r="K70" s="4">
        <v>4.4602300825279499</v>
      </c>
    </row>
    <row r="71" spans="7:11" x14ac:dyDescent="0.2">
      <c r="G71" t="s">
        <v>35</v>
      </c>
      <c r="H71" s="2">
        <v>64</v>
      </c>
      <c r="I71" s="5">
        <v>47562</v>
      </c>
      <c r="J71" s="4">
        <v>4.2602746642387102</v>
      </c>
      <c r="K71" s="4">
        <v>4.4616102759946701</v>
      </c>
    </row>
    <row r="72" spans="7:11" x14ac:dyDescent="0.2">
      <c r="G72" t="s">
        <v>35</v>
      </c>
      <c r="H72" s="2">
        <v>65</v>
      </c>
      <c r="I72" s="5">
        <v>47595</v>
      </c>
      <c r="J72" s="4">
        <v>4.26431049900415</v>
      </c>
      <c r="K72" s="4">
        <v>4.4602300825282404</v>
      </c>
    </row>
    <row r="73" spans="7:11" x14ac:dyDescent="0.2">
      <c r="G73" t="s">
        <v>35</v>
      </c>
      <c r="H73" s="2">
        <v>66</v>
      </c>
      <c r="I73" s="5">
        <v>47623</v>
      </c>
      <c r="J73" s="4">
        <v>4.2676308252025397</v>
      </c>
      <c r="K73" s="4">
        <v>4.4610581303042203</v>
      </c>
    </row>
    <row r="74" spans="7:11" x14ac:dyDescent="0.2">
      <c r="G74" t="s">
        <v>35</v>
      </c>
      <c r="H74" s="2">
        <v>67</v>
      </c>
      <c r="I74" s="5">
        <v>47654</v>
      </c>
      <c r="J74" s="4">
        <v>4.2712005386365002</v>
      </c>
      <c r="K74" s="4">
        <v>4.4613341917643297</v>
      </c>
    </row>
    <row r="75" spans="7:11" x14ac:dyDescent="0.2">
      <c r="G75" t="s">
        <v>35</v>
      </c>
      <c r="H75" s="2">
        <v>68</v>
      </c>
      <c r="I75" s="5">
        <v>47686</v>
      </c>
      <c r="J75" s="4">
        <v>4.2747733184988101</v>
      </c>
      <c r="K75" s="4">
        <v>4.4605060756883796</v>
      </c>
    </row>
    <row r="76" spans="7:11" x14ac:dyDescent="0.2">
      <c r="G76" t="s">
        <v>35</v>
      </c>
      <c r="H76" s="2">
        <v>69</v>
      </c>
      <c r="I76" s="5">
        <v>47715</v>
      </c>
      <c r="J76" s="4">
        <v>4.2779171058217296</v>
      </c>
      <c r="K76" s="4">
        <v>4.4610581303042203</v>
      </c>
    </row>
    <row r="77" spans="7:11" x14ac:dyDescent="0.2">
      <c r="G77" t="s">
        <v>35</v>
      </c>
      <c r="H77" s="2">
        <v>70</v>
      </c>
      <c r="I77" s="5">
        <v>47746</v>
      </c>
      <c r="J77" s="4">
        <v>4.2811830925070904</v>
      </c>
      <c r="K77" s="4">
        <v>4.4610581303039698</v>
      </c>
    </row>
    <row r="78" spans="7:11" x14ac:dyDescent="0.2">
      <c r="G78" t="s">
        <v>35</v>
      </c>
      <c r="H78" s="2">
        <v>71</v>
      </c>
      <c r="I78" s="5">
        <v>47777</v>
      </c>
      <c r="J78" s="4">
        <v>4.2843554266498902</v>
      </c>
      <c r="K78" s="4">
        <v>4.4607820916129999</v>
      </c>
    </row>
    <row r="79" spans="7:11" x14ac:dyDescent="0.2">
      <c r="G79" t="s">
        <v>35</v>
      </c>
      <c r="H79" s="2">
        <v>72</v>
      </c>
      <c r="I79" s="5">
        <v>47807</v>
      </c>
      <c r="J79" s="4">
        <v>4.2873400000000004</v>
      </c>
      <c r="K79" s="4">
        <v>4.46420021333679</v>
      </c>
    </row>
    <row r="80" spans="7:11" x14ac:dyDescent="0.2">
      <c r="G80" t="s">
        <v>35</v>
      </c>
      <c r="H80" s="2">
        <v>73</v>
      </c>
      <c r="I80" s="5">
        <v>47837</v>
      </c>
      <c r="J80" s="4">
        <v>4.2902909730956598</v>
      </c>
      <c r="K80" s="4">
        <v>4.4644766749719604</v>
      </c>
    </row>
    <row r="81" spans="7:11" x14ac:dyDescent="0.2">
      <c r="G81" t="s">
        <v>35</v>
      </c>
      <c r="H81" s="2">
        <v>74</v>
      </c>
      <c r="I81" s="5">
        <v>47868</v>
      </c>
      <c r="J81" s="4">
        <v>4.29325775738607</v>
      </c>
      <c r="K81" s="4">
        <v>4.46447667497221</v>
      </c>
    </row>
    <row r="82" spans="7:11" x14ac:dyDescent="0.2">
      <c r="G82" t="s">
        <v>35</v>
      </c>
      <c r="H82" s="2">
        <v>75</v>
      </c>
      <c r="I82" s="5">
        <v>47899</v>
      </c>
      <c r="J82" s="4">
        <v>4.2961440133217002</v>
      </c>
      <c r="K82" s="4">
        <v>4.4636473585207499</v>
      </c>
    </row>
    <row r="83" spans="7:11" x14ac:dyDescent="0.2">
      <c r="G83" t="s">
        <v>35</v>
      </c>
      <c r="H83" s="2">
        <v>76</v>
      </c>
      <c r="I83" s="5">
        <v>47927</v>
      </c>
      <c r="J83" s="4">
        <v>4.2986844325153797</v>
      </c>
      <c r="K83" s="4">
        <v>4.4647531594282599</v>
      </c>
    </row>
    <row r="84" spans="7:11" x14ac:dyDescent="0.2">
      <c r="G84" t="s">
        <v>35</v>
      </c>
      <c r="H84" s="2">
        <v>77</v>
      </c>
      <c r="I84" s="5">
        <v>47959</v>
      </c>
      <c r="J84" s="4">
        <v>4.3015134567140603</v>
      </c>
      <c r="K84" s="4">
        <v>4.4639237745205103</v>
      </c>
    </row>
    <row r="85" spans="7:11" x14ac:dyDescent="0.2">
      <c r="G85" t="s">
        <v>35</v>
      </c>
      <c r="H85" s="2">
        <v>78</v>
      </c>
      <c r="I85" s="5">
        <v>47988</v>
      </c>
      <c r="J85" s="4">
        <v>4.3040113599150898</v>
      </c>
      <c r="K85" s="4">
        <v>4.4644766749719604</v>
      </c>
    </row>
    <row r="86" spans="7:11" x14ac:dyDescent="0.2">
      <c r="G86" t="s">
        <v>35</v>
      </c>
      <c r="H86" s="2">
        <v>79</v>
      </c>
      <c r="I86" s="5">
        <v>48019</v>
      </c>
      <c r="J86" s="4">
        <v>4.3066148938361204</v>
      </c>
      <c r="K86" s="4">
        <v>4.46447667497221</v>
      </c>
    </row>
    <row r="87" spans="7:11" x14ac:dyDescent="0.2">
      <c r="G87" t="s">
        <v>35</v>
      </c>
      <c r="H87" s="2">
        <v>80</v>
      </c>
      <c r="I87" s="5">
        <v>48050</v>
      </c>
      <c r="J87" s="4">
        <v>4.3091521412298697</v>
      </c>
      <c r="K87" s="4">
        <v>4.46420021333679</v>
      </c>
    </row>
    <row r="88" spans="7:11" x14ac:dyDescent="0.2">
      <c r="G88" t="s">
        <v>35</v>
      </c>
      <c r="H88" s="2">
        <v>81</v>
      </c>
      <c r="I88" s="5">
        <v>48080</v>
      </c>
      <c r="J88" s="4">
        <v>4.3115467837243404</v>
      </c>
      <c r="K88" s="4">
        <v>4.4650296667079896</v>
      </c>
    </row>
    <row r="89" spans="7:11" x14ac:dyDescent="0.2">
      <c r="G89" t="s">
        <v>35</v>
      </c>
      <c r="H89" s="2">
        <v>82</v>
      </c>
      <c r="I89" s="5">
        <v>48113</v>
      </c>
      <c r="J89" s="4">
        <v>4.3141144624089502</v>
      </c>
      <c r="K89" s="4">
        <v>4.4636473585207002</v>
      </c>
    </row>
    <row r="90" spans="7:11" x14ac:dyDescent="0.2">
      <c r="G90" t="s">
        <v>35</v>
      </c>
      <c r="H90" s="2">
        <v>83</v>
      </c>
      <c r="I90" s="5">
        <v>48141</v>
      </c>
      <c r="J90" s="4">
        <v>4.3162404908835104</v>
      </c>
      <c r="K90" s="4">
        <v>4.4644766749720004</v>
      </c>
    </row>
    <row r="91" spans="7:11" x14ac:dyDescent="0.2">
      <c r="G91" t="s">
        <v>35</v>
      </c>
      <c r="H91" s="2">
        <v>84</v>
      </c>
      <c r="I91" s="5">
        <v>48172</v>
      </c>
      <c r="J91" s="4">
        <v>4.3185399999999996</v>
      </c>
      <c r="K91" s="4">
        <v>4.5239047858695001</v>
      </c>
    </row>
    <row r="92" spans="7:11" x14ac:dyDescent="0.2">
      <c r="G92" t="s">
        <v>35</v>
      </c>
      <c r="H92" s="2">
        <v>85</v>
      </c>
      <c r="I92" s="5">
        <v>48204</v>
      </c>
      <c r="J92" s="4">
        <v>4.3216001552182099</v>
      </c>
      <c r="K92" s="4">
        <v>4.5230532953223399</v>
      </c>
    </row>
    <row r="93" spans="7:11" x14ac:dyDescent="0.2">
      <c r="G93" t="s">
        <v>35</v>
      </c>
      <c r="H93" s="2">
        <v>86</v>
      </c>
      <c r="I93" s="5">
        <v>48233</v>
      </c>
      <c r="J93" s="4">
        <v>4.3243088167055399</v>
      </c>
      <c r="K93" s="4">
        <v>4.5236209319488596</v>
      </c>
    </row>
    <row r="94" spans="7:11" x14ac:dyDescent="0.2">
      <c r="G94" t="s">
        <v>35</v>
      </c>
      <c r="H94" s="2">
        <v>87</v>
      </c>
      <c r="I94" s="5">
        <v>48264</v>
      </c>
      <c r="J94" s="4">
        <v>4.3271387135581696</v>
      </c>
      <c r="K94" s="4">
        <v>4.5236209319488099</v>
      </c>
    </row>
    <row r="95" spans="7:11" x14ac:dyDescent="0.2">
      <c r="G95" t="s">
        <v>35</v>
      </c>
      <c r="H95" s="2">
        <v>88</v>
      </c>
      <c r="I95" s="5">
        <v>48295</v>
      </c>
      <c r="J95" s="4">
        <v>4.3299031560544599</v>
      </c>
      <c r="K95" s="4">
        <v>4.5230532953223399</v>
      </c>
    </row>
    <row r="96" spans="7:11" x14ac:dyDescent="0.2">
      <c r="G96" t="s">
        <v>35</v>
      </c>
      <c r="H96" s="2">
        <v>89</v>
      </c>
      <c r="I96" s="5">
        <v>48324</v>
      </c>
      <c r="J96" s="4">
        <v>4.3324319812544996</v>
      </c>
      <c r="K96" s="4">
        <v>4.5233371017672397</v>
      </c>
    </row>
    <row r="97" spans="7:11" x14ac:dyDescent="0.2">
      <c r="G97" t="s">
        <v>35</v>
      </c>
      <c r="H97" s="2">
        <v>90</v>
      </c>
      <c r="I97" s="5">
        <v>48354</v>
      </c>
      <c r="J97" s="4">
        <v>4.3349916675598603</v>
      </c>
      <c r="K97" s="4">
        <v>4.5239047858697496</v>
      </c>
    </row>
    <row r="98" spans="7:11" x14ac:dyDescent="0.2">
      <c r="G98" t="s">
        <v>35</v>
      </c>
      <c r="H98" s="2">
        <v>91</v>
      </c>
      <c r="I98" s="5">
        <v>48386</v>
      </c>
      <c r="J98" s="4">
        <v>4.3376609216463402</v>
      </c>
      <c r="K98" s="4">
        <v>4.5230532953226099</v>
      </c>
    </row>
    <row r="99" spans="7:11" x14ac:dyDescent="0.2">
      <c r="G99" t="s">
        <v>35</v>
      </c>
      <c r="H99" s="2">
        <v>92</v>
      </c>
      <c r="I99" s="5">
        <v>48415</v>
      </c>
      <c r="J99" s="4">
        <v>4.3400272435972997</v>
      </c>
      <c r="K99" s="4">
        <v>4.5236209319486003</v>
      </c>
    </row>
    <row r="100" spans="7:11" x14ac:dyDescent="0.2">
      <c r="G100" t="s">
        <v>35</v>
      </c>
      <c r="H100" s="2">
        <v>93</v>
      </c>
      <c r="I100" s="5">
        <v>48446</v>
      </c>
      <c r="J100" s="4">
        <v>4.3425031601747497</v>
      </c>
      <c r="K100" s="4">
        <v>4.5236209319490701</v>
      </c>
    </row>
    <row r="101" spans="7:11" x14ac:dyDescent="0.2">
      <c r="G101" t="s">
        <v>35</v>
      </c>
      <c r="H101" s="2">
        <v>94</v>
      </c>
      <c r="I101" s="5">
        <v>48477</v>
      </c>
      <c r="J101" s="4">
        <v>4.3449254508282698</v>
      </c>
      <c r="K101" s="4">
        <v>4.5233371017669697</v>
      </c>
    </row>
    <row r="102" spans="7:11" x14ac:dyDescent="0.2">
      <c r="G102" t="s">
        <v>35</v>
      </c>
      <c r="H102" s="2">
        <v>95</v>
      </c>
      <c r="I102" s="5">
        <v>48507</v>
      </c>
      <c r="J102" s="4">
        <v>4.3472201680273299</v>
      </c>
      <c r="K102" s="4">
        <v>4.5241886635319597</v>
      </c>
    </row>
    <row r="103" spans="7:11" x14ac:dyDescent="0.2">
      <c r="G103" t="s">
        <v>35</v>
      </c>
      <c r="H103" s="2">
        <v>96</v>
      </c>
      <c r="I103" s="5">
        <v>48540</v>
      </c>
      <c r="J103" s="4">
        <v>4.3496900000000096</v>
      </c>
      <c r="K103" s="4">
        <v>4.5244978234205098</v>
      </c>
    </row>
    <row r="104" spans="7:11" x14ac:dyDescent="0.2">
      <c r="G104" t="s">
        <v>35</v>
      </c>
      <c r="H104" s="2">
        <v>97</v>
      </c>
      <c r="I104" s="5">
        <v>48568</v>
      </c>
      <c r="J104" s="4">
        <v>4.3517590251794598</v>
      </c>
      <c r="K104" s="4">
        <v>4.5253498932557896</v>
      </c>
    </row>
    <row r="105" spans="7:11" x14ac:dyDescent="0.2">
      <c r="G105" t="s">
        <v>35</v>
      </c>
      <c r="H105" s="2">
        <v>98</v>
      </c>
      <c r="I105" s="5">
        <v>48599</v>
      </c>
      <c r="J105" s="4">
        <v>4.3540044480301399</v>
      </c>
      <c r="K105" s="4">
        <v>4.5256339640641796</v>
      </c>
    </row>
    <row r="106" spans="7:11" x14ac:dyDescent="0.2">
      <c r="G106" t="s">
        <v>35</v>
      </c>
      <c r="H106" s="2">
        <v>99</v>
      </c>
      <c r="I106" s="5">
        <v>48631</v>
      </c>
      <c r="J106" s="4">
        <v>4.356273896137</v>
      </c>
      <c r="K106" s="4">
        <v>4.5244978234205098</v>
      </c>
    </row>
    <row r="107" spans="7:11" x14ac:dyDescent="0.2">
      <c r="G107" t="s">
        <v>35</v>
      </c>
      <c r="H107" s="2">
        <v>100</v>
      </c>
      <c r="I107" s="5">
        <v>48659</v>
      </c>
      <c r="J107" s="4">
        <v>4.3582205291782898</v>
      </c>
      <c r="K107" s="4">
        <v>4.5250658462139803</v>
      </c>
    </row>
    <row r="108" spans="7:11" x14ac:dyDescent="0.2">
      <c r="G108" t="s">
        <v>35</v>
      </c>
      <c r="H108" s="2">
        <v>101</v>
      </c>
      <c r="I108" s="5">
        <v>48689</v>
      </c>
      <c r="J108" s="4">
        <v>4.3602668622026099</v>
      </c>
      <c r="K108" s="4">
        <v>4.5250658462140798</v>
      </c>
    </row>
    <row r="109" spans="7:11" x14ac:dyDescent="0.2">
      <c r="G109" t="s">
        <v>35</v>
      </c>
      <c r="H109" s="2">
        <v>102</v>
      </c>
      <c r="I109" s="5">
        <v>48719</v>
      </c>
      <c r="J109" s="4">
        <v>4.36227364697341</v>
      </c>
      <c r="K109" s="4">
        <v>4.5253498932560499</v>
      </c>
    </row>
    <row r="110" spans="7:11" x14ac:dyDescent="0.2">
      <c r="G110" t="s">
        <v>35</v>
      </c>
      <c r="H110" s="2">
        <v>103</v>
      </c>
      <c r="I110" s="5">
        <v>48750</v>
      </c>
      <c r="J110" s="4">
        <v>4.3643069827244796</v>
      </c>
      <c r="K110" s="4">
        <v>4.5250658462139803</v>
      </c>
    </row>
    <row r="111" spans="7:11" x14ac:dyDescent="0.2">
      <c r="G111" t="s">
        <v>35</v>
      </c>
      <c r="H111" s="2">
        <v>104</v>
      </c>
      <c r="I111" s="5">
        <v>48780</v>
      </c>
      <c r="J111" s="4">
        <v>4.36623680879626</v>
      </c>
      <c r="K111" s="4">
        <v>4.5259180586410102</v>
      </c>
    </row>
    <row r="112" spans="7:11" x14ac:dyDescent="0.2">
      <c r="G112" t="s">
        <v>35</v>
      </c>
      <c r="H112" s="2">
        <v>105</v>
      </c>
      <c r="I112" s="5">
        <v>48813</v>
      </c>
      <c r="J112" s="4">
        <v>4.3683178058822003</v>
      </c>
      <c r="K112" s="4">
        <v>4.5247818229364496</v>
      </c>
    </row>
    <row r="113" spans="7:11" x14ac:dyDescent="0.2">
      <c r="G113" t="s">
        <v>35</v>
      </c>
      <c r="H113" s="2">
        <v>106</v>
      </c>
      <c r="I113" s="5">
        <v>48842</v>
      </c>
      <c r="J113" s="4">
        <v>4.3701114313371603</v>
      </c>
      <c r="K113" s="4">
        <v>4.5250658462139803</v>
      </c>
    </row>
    <row r="114" spans="7:11" x14ac:dyDescent="0.2">
      <c r="G114" t="s">
        <v>35</v>
      </c>
      <c r="H114" s="2">
        <v>107</v>
      </c>
      <c r="I114" s="5">
        <v>48872</v>
      </c>
      <c r="J114" s="4">
        <v>4.3719333001316096</v>
      </c>
      <c r="K114" s="4">
        <v>4.5256339640641796</v>
      </c>
    </row>
    <row r="115" spans="7:11" x14ac:dyDescent="0.2">
      <c r="G115" t="s">
        <v>35</v>
      </c>
      <c r="H115" s="2">
        <v>108</v>
      </c>
      <c r="I115" s="5">
        <v>48904</v>
      </c>
      <c r="J115" s="4">
        <v>4.3738400000000102</v>
      </c>
      <c r="K115" s="4">
        <v>4.5317979495115202</v>
      </c>
    </row>
    <row r="116" spans="7:11" x14ac:dyDescent="0.2">
      <c r="G116" t="s">
        <v>35</v>
      </c>
      <c r="H116" s="2">
        <v>109</v>
      </c>
      <c r="I116" s="5">
        <v>48933</v>
      </c>
      <c r="J116" s="4">
        <v>4.3755986396272197</v>
      </c>
      <c r="K116" s="4">
        <v>4.5323677818994197</v>
      </c>
    </row>
    <row r="117" spans="7:11" x14ac:dyDescent="0.2">
      <c r="G117" t="s">
        <v>35</v>
      </c>
      <c r="H117" s="2">
        <v>110</v>
      </c>
      <c r="I117" s="5">
        <v>48964</v>
      </c>
      <c r="J117" s="4">
        <v>4.3774448906141998</v>
      </c>
      <c r="K117" s="4">
        <v>4.5323677818995103</v>
      </c>
    </row>
    <row r="118" spans="7:11" x14ac:dyDescent="0.2">
      <c r="G118" t="s">
        <v>35</v>
      </c>
      <c r="H118" s="2">
        <v>111</v>
      </c>
      <c r="I118" s="5">
        <v>48995</v>
      </c>
      <c r="J118" s="4">
        <v>4.3792572816583801</v>
      </c>
      <c r="K118" s="4">
        <v>4.5315130691271399</v>
      </c>
    </row>
    <row r="119" spans="7:11" x14ac:dyDescent="0.2">
      <c r="G119" t="s">
        <v>35</v>
      </c>
      <c r="H119" s="2">
        <v>112</v>
      </c>
      <c r="I119" s="5">
        <v>49023</v>
      </c>
      <c r="J119" s="4">
        <v>4.3808659451122898</v>
      </c>
      <c r="K119" s="4">
        <v>4.5323677818994197</v>
      </c>
    </row>
    <row r="120" spans="7:11" x14ac:dyDescent="0.2">
      <c r="G120" t="s">
        <v>35</v>
      </c>
      <c r="H120" s="2">
        <v>113</v>
      </c>
      <c r="I120" s="5">
        <v>49054</v>
      </c>
      <c r="J120" s="4">
        <v>4.3826164154116203</v>
      </c>
      <c r="K120" s="4">
        <v>4.5326527339077503</v>
      </c>
    </row>
    <row r="121" spans="7:11" x14ac:dyDescent="0.2">
      <c r="G121" t="s">
        <v>35</v>
      </c>
      <c r="H121" s="2">
        <v>114</v>
      </c>
      <c r="I121" s="5">
        <v>49086</v>
      </c>
      <c r="J121" s="4">
        <v>4.3843905617301404</v>
      </c>
      <c r="K121" s="4">
        <v>4.5317979495115202</v>
      </c>
    </row>
    <row r="122" spans="7:11" x14ac:dyDescent="0.2">
      <c r="G122" t="s">
        <v>35</v>
      </c>
      <c r="H122" s="2">
        <v>115</v>
      </c>
      <c r="I122" s="5">
        <v>49115</v>
      </c>
      <c r="J122" s="4">
        <v>4.3859703647775001</v>
      </c>
      <c r="K122" s="4">
        <v>4.5320828537680304</v>
      </c>
    </row>
    <row r="123" spans="7:11" x14ac:dyDescent="0.2">
      <c r="G123" t="s">
        <v>35</v>
      </c>
      <c r="H123" s="2">
        <v>116</v>
      </c>
      <c r="I123" s="5">
        <v>49145</v>
      </c>
      <c r="J123" s="4">
        <v>4.3875773334346704</v>
      </c>
      <c r="K123" s="4">
        <v>4.5326527339081597</v>
      </c>
    </row>
    <row r="124" spans="7:11" x14ac:dyDescent="0.2">
      <c r="G124" t="s">
        <v>35</v>
      </c>
      <c r="H124" s="2">
        <v>117</v>
      </c>
      <c r="I124" s="5">
        <v>49177</v>
      </c>
      <c r="J124" s="4">
        <v>4.3892616029778297</v>
      </c>
      <c r="K124" s="4">
        <v>4.5320828537680304</v>
      </c>
    </row>
    <row r="125" spans="7:11" x14ac:dyDescent="0.2">
      <c r="G125" t="s">
        <v>35</v>
      </c>
      <c r="H125" s="2">
        <v>118</v>
      </c>
      <c r="I125" s="5">
        <v>49207</v>
      </c>
      <c r="J125" s="4">
        <v>4.3908133558682003</v>
      </c>
      <c r="K125" s="4">
        <v>4.5320828537679301</v>
      </c>
    </row>
    <row r="126" spans="7:11" x14ac:dyDescent="0.2">
      <c r="G126" t="s">
        <v>35</v>
      </c>
      <c r="H126" s="2">
        <v>119</v>
      </c>
      <c r="I126" s="5">
        <v>49237</v>
      </c>
      <c r="J126" s="4">
        <v>4.3923394076901703</v>
      </c>
      <c r="K126" s="4">
        <v>4.5323677818995103</v>
      </c>
    </row>
    <row r="127" spans="7:11" x14ac:dyDescent="0.2">
      <c r="G127" t="s">
        <v>35</v>
      </c>
      <c r="H127" s="2">
        <v>120</v>
      </c>
      <c r="I127" s="5">
        <v>49268</v>
      </c>
      <c r="J127" s="4">
        <v>4.3938900000000096</v>
      </c>
      <c r="K127" s="4">
        <v>5.0474798090307598</v>
      </c>
    </row>
    <row r="128" spans="7:11" x14ac:dyDescent="0.2">
      <c r="G128" t="s">
        <v>35</v>
      </c>
      <c r="H128" s="2">
        <v>121</v>
      </c>
      <c r="I128" s="5">
        <v>49298</v>
      </c>
      <c r="J128" s="4">
        <v>4.3996403181549804</v>
      </c>
      <c r="K128" s="4">
        <v>5.0485400160216898</v>
      </c>
    </row>
    <row r="129" spans="7:11" x14ac:dyDescent="0.2">
      <c r="G129" t="s">
        <v>35</v>
      </c>
      <c r="H129" s="2">
        <v>122</v>
      </c>
      <c r="I129" s="5">
        <v>49331</v>
      </c>
      <c r="J129" s="4">
        <v>4.4058585831387997</v>
      </c>
      <c r="K129" s="4">
        <v>5.04712647264697</v>
      </c>
    </row>
    <row r="130" spans="7:11" x14ac:dyDescent="0.2">
      <c r="G130" t="s">
        <v>35</v>
      </c>
      <c r="H130" s="2">
        <v>123</v>
      </c>
      <c r="I130" s="5">
        <v>49360</v>
      </c>
      <c r="J130" s="4">
        <v>4.4112327796447497</v>
      </c>
      <c r="K130" s="4">
        <v>5.0467731692305398</v>
      </c>
    </row>
    <row r="131" spans="7:11" x14ac:dyDescent="0.2">
      <c r="G131" t="s">
        <v>35</v>
      </c>
      <c r="H131" s="2">
        <v>124</v>
      </c>
      <c r="I131" s="5">
        <v>49388</v>
      </c>
      <c r="J131" s="4">
        <v>4.4163433791406099</v>
      </c>
      <c r="K131" s="4">
        <v>5.04783317838573</v>
      </c>
    </row>
    <row r="132" spans="7:11" x14ac:dyDescent="0.2">
      <c r="G132" t="s">
        <v>35</v>
      </c>
      <c r="H132" s="2">
        <v>125</v>
      </c>
      <c r="I132" s="5">
        <v>49419</v>
      </c>
      <c r="J132" s="4">
        <v>4.4219139072653402</v>
      </c>
      <c r="K132" s="4">
        <v>5.0478331783858801</v>
      </c>
    </row>
    <row r="133" spans="7:11" x14ac:dyDescent="0.2">
      <c r="G133" t="s">
        <v>35</v>
      </c>
      <c r="H133" s="2">
        <v>126</v>
      </c>
      <c r="I133" s="5">
        <v>49450</v>
      </c>
      <c r="J133" s="4">
        <v>4.4273945019584398</v>
      </c>
      <c r="K133" s="4">
        <v>5.0474798090308699</v>
      </c>
    </row>
    <row r="134" spans="7:11" x14ac:dyDescent="0.2">
      <c r="G134" t="s">
        <v>35</v>
      </c>
      <c r="H134" s="2">
        <v>127</v>
      </c>
      <c r="I134" s="5">
        <v>49480</v>
      </c>
      <c r="J134" s="4">
        <v>4.4326147101164901</v>
      </c>
      <c r="K134" s="4">
        <v>5.0474798090310298</v>
      </c>
    </row>
    <row r="135" spans="7:11" x14ac:dyDescent="0.2">
      <c r="G135" t="s">
        <v>35</v>
      </c>
      <c r="H135" s="2">
        <v>128</v>
      </c>
      <c r="I135" s="5">
        <v>49510</v>
      </c>
      <c r="J135" s="4">
        <v>4.43775461387101</v>
      </c>
      <c r="K135" s="4">
        <v>5.0478331783858801</v>
      </c>
    </row>
    <row r="136" spans="7:11" x14ac:dyDescent="0.2">
      <c r="G136" t="s">
        <v>35</v>
      </c>
      <c r="H136" s="2">
        <v>129</v>
      </c>
      <c r="I136" s="5">
        <v>49541</v>
      </c>
      <c r="J136" s="4">
        <v>4.4429834363303797</v>
      </c>
      <c r="K136" s="4">
        <v>5.0478331783854697</v>
      </c>
    </row>
    <row r="137" spans="7:11" x14ac:dyDescent="0.2">
      <c r="G137" t="s">
        <v>35</v>
      </c>
      <c r="H137" s="2">
        <v>130</v>
      </c>
      <c r="I137" s="5">
        <v>49572</v>
      </c>
      <c r="J137" s="4">
        <v>4.4481304412196598</v>
      </c>
      <c r="K137" s="4">
        <v>5.0481865807148898</v>
      </c>
    </row>
    <row r="138" spans="7:11" x14ac:dyDescent="0.2">
      <c r="G138" t="s">
        <v>35</v>
      </c>
      <c r="H138" s="2">
        <v>131</v>
      </c>
      <c r="I138" s="5">
        <v>49604</v>
      </c>
      <c r="J138" s="4">
        <v>4.4533596790873498</v>
      </c>
      <c r="K138" s="4">
        <v>5.04712647264697</v>
      </c>
    </row>
    <row r="139" spans="7:11" x14ac:dyDescent="0.2">
      <c r="G139" t="s">
        <v>35</v>
      </c>
      <c r="H139" s="2">
        <v>132</v>
      </c>
      <c r="I139" s="5">
        <v>49633</v>
      </c>
      <c r="J139" s="4">
        <v>4.4580268250031398</v>
      </c>
      <c r="K139" s="4">
        <v>5.0474798090310298</v>
      </c>
    </row>
    <row r="140" spans="7:11" x14ac:dyDescent="0.2">
      <c r="G140" t="s">
        <v>35</v>
      </c>
      <c r="H140" s="2">
        <v>133</v>
      </c>
      <c r="I140" s="5">
        <v>49663</v>
      </c>
      <c r="J140" s="4">
        <v>4.4627846294844602</v>
      </c>
      <c r="K140" s="4">
        <v>5.0481865807146402</v>
      </c>
    </row>
    <row r="141" spans="7:11" x14ac:dyDescent="0.2">
      <c r="G141" t="s">
        <v>35</v>
      </c>
      <c r="H141" s="2">
        <v>134</v>
      </c>
      <c r="I141" s="5">
        <v>49695</v>
      </c>
      <c r="J141" s="4">
        <v>4.4677826012921296</v>
      </c>
      <c r="K141" s="4">
        <v>5.0474798090307598</v>
      </c>
    </row>
    <row r="142" spans="7:11" x14ac:dyDescent="0.2">
      <c r="G142" t="s">
        <v>35</v>
      </c>
      <c r="H142" s="2">
        <v>135</v>
      </c>
      <c r="I142" s="5">
        <v>49725</v>
      </c>
      <c r="J142" s="4">
        <v>4.4723976081496399</v>
      </c>
      <c r="K142" s="4">
        <v>5.0471264726470801</v>
      </c>
    </row>
    <row r="143" spans="7:11" x14ac:dyDescent="0.2">
      <c r="G143" t="s">
        <v>35</v>
      </c>
      <c r="H143" s="2">
        <v>136</v>
      </c>
      <c r="I143" s="5">
        <v>49754</v>
      </c>
      <c r="J143" s="4">
        <v>4.4767952705278002</v>
      </c>
      <c r="K143" s="4">
        <v>5.0481865807147903</v>
      </c>
    </row>
    <row r="144" spans="7:11" x14ac:dyDescent="0.2">
      <c r="G144" t="s">
        <v>35</v>
      </c>
      <c r="H144" s="2">
        <v>137</v>
      </c>
      <c r="I144" s="5">
        <v>49786</v>
      </c>
      <c r="J144" s="4">
        <v>4.4815769856530396</v>
      </c>
      <c r="K144" s="4">
        <v>5.04712647264697</v>
      </c>
    </row>
    <row r="145" spans="7:11" x14ac:dyDescent="0.2">
      <c r="G145" t="s">
        <v>35</v>
      </c>
      <c r="H145" s="2">
        <v>138</v>
      </c>
      <c r="I145" s="5">
        <v>49815</v>
      </c>
      <c r="J145" s="4">
        <v>4.4858475566212297</v>
      </c>
      <c r="K145" s="4">
        <v>5.04783317838573</v>
      </c>
    </row>
    <row r="146" spans="7:11" x14ac:dyDescent="0.2">
      <c r="G146" t="s">
        <v>35</v>
      </c>
      <c r="H146" s="2">
        <v>139</v>
      </c>
      <c r="I146" s="5">
        <v>49846</v>
      </c>
      <c r="J146" s="4">
        <v>4.4903479931490198</v>
      </c>
      <c r="K146" s="4">
        <v>5.04783317838573</v>
      </c>
    </row>
    <row r="147" spans="7:11" x14ac:dyDescent="0.2">
      <c r="G147" t="s">
        <v>35</v>
      </c>
      <c r="H147" s="2">
        <v>140</v>
      </c>
      <c r="I147" s="5">
        <v>49877</v>
      </c>
      <c r="J147" s="4">
        <v>4.4947830426343298</v>
      </c>
      <c r="K147" s="4">
        <v>5.0474798090307598</v>
      </c>
    </row>
    <row r="148" spans="7:11" x14ac:dyDescent="0.2">
      <c r="G148" t="s">
        <v>35</v>
      </c>
      <c r="H148" s="2">
        <v>141</v>
      </c>
      <c r="I148" s="5">
        <v>49907</v>
      </c>
      <c r="J148" s="4">
        <v>4.4990141016791396</v>
      </c>
      <c r="K148" s="4">
        <v>5.04854001602145</v>
      </c>
    </row>
    <row r="149" spans="7:11" x14ac:dyDescent="0.2">
      <c r="G149" t="s">
        <v>35</v>
      </c>
      <c r="H149" s="2">
        <v>142</v>
      </c>
      <c r="I149" s="5">
        <v>49940</v>
      </c>
      <c r="J149" s="4">
        <v>4.5036005550543701</v>
      </c>
      <c r="K149" s="4">
        <v>5.0467731692305398</v>
      </c>
    </row>
    <row r="150" spans="7:11" x14ac:dyDescent="0.2">
      <c r="G150" t="s">
        <v>35</v>
      </c>
      <c r="H150" s="2">
        <v>143</v>
      </c>
      <c r="I150" s="5">
        <v>49968</v>
      </c>
      <c r="J150" s="4">
        <v>4.5074376243866796</v>
      </c>
      <c r="K150" s="4">
        <v>5.0478331783856198</v>
      </c>
    </row>
    <row r="151" spans="7:11" x14ac:dyDescent="0.2">
      <c r="G151" t="s">
        <v>35</v>
      </c>
      <c r="H151" s="2">
        <v>144</v>
      </c>
      <c r="I151" s="5">
        <v>49999</v>
      </c>
      <c r="J151" s="4">
        <v>4.51162870532493</v>
      </c>
      <c r="K151" s="4">
        <v>5.0481865807148898</v>
      </c>
    </row>
    <row r="152" spans="7:11" x14ac:dyDescent="0.2">
      <c r="G152" t="s">
        <v>35</v>
      </c>
      <c r="H152" s="2">
        <v>145</v>
      </c>
      <c r="I152" s="5">
        <v>50031</v>
      </c>
      <c r="J152" s="4">
        <v>4.5158933366186398</v>
      </c>
      <c r="K152" s="4">
        <v>5.0471264726466902</v>
      </c>
    </row>
    <row r="153" spans="7:11" x14ac:dyDescent="0.2">
      <c r="G153" t="s">
        <v>35</v>
      </c>
      <c r="H153" s="2">
        <v>146</v>
      </c>
      <c r="I153" s="5">
        <v>50060</v>
      </c>
      <c r="J153" s="4">
        <v>4.5197051840057503</v>
      </c>
      <c r="K153" s="4">
        <v>5.04783317838573</v>
      </c>
    </row>
    <row r="154" spans="7:11" x14ac:dyDescent="0.2">
      <c r="G154" t="s">
        <v>35</v>
      </c>
      <c r="H154" s="2">
        <v>147</v>
      </c>
      <c r="I154" s="5">
        <v>50091</v>
      </c>
      <c r="J154" s="4">
        <v>4.5237253610973696</v>
      </c>
      <c r="K154" s="4">
        <v>5.0467731692302502</v>
      </c>
    </row>
    <row r="155" spans="7:11" x14ac:dyDescent="0.2">
      <c r="G155" t="s">
        <v>35</v>
      </c>
      <c r="H155" s="2">
        <v>148</v>
      </c>
      <c r="I155" s="5">
        <v>50119</v>
      </c>
      <c r="J155" s="4">
        <v>4.5273089790073504</v>
      </c>
      <c r="K155" s="4">
        <v>5.0478331783858801</v>
      </c>
    </row>
    <row r="156" spans="7:11" x14ac:dyDescent="0.2">
      <c r="G156" t="s">
        <v>35</v>
      </c>
      <c r="H156" s="2">
        <v>149</v>
      </c>
      <c r="I156" s="5">
        <v>50150</v>
      </c>
      <c r="J156" s="4">
        <v>4.53122499852023</v>
      </c>
      <c r="K156" s="4">
        <v>5.0474798090308699</v>
      </c>
    </row>
    <row r="157" spans="7:11" x14ac:dyDescent="0.2">
      <c r="G157" t="s">
        <v>35</v>
      </c>
      <c r="H157" s="2">
        <v>150</v>
      </c>
      <c r="I157" s="5">
        <v>50180</v>
      </c>
      <c r="J157" s="4">
        <v>4.5349641137275603</v>
      </c>
      <c r="K157" s="4">
        <v>5.04854001602145</v>
      </c>
    </row>
    <row r="158" spans="7:11" x14ac:dyDescent="0.2">
      <c r="G158" t="s">
        <v>35</v>
      </c>
      <c r="H158" s="2">
        <v>151</v>
      </c>
      <c r="I158" s="5">
        <v>50213</v>
      </c>
      <c r="J158" s="4">
        <v>4.5390208504214202</v>
      </c>
      <c r="K158" s="4">
        <v>5.0467731692302502</v>
      </c>
    </row>
    <row r="159" spans="7:11" x14ac:dyDescent="0.2">
      <c r="G159" t="s">
        <v>35</v>
      </c>
      <c r="H159" s="2">
        <v>152</v>
      </c>
      <c r="I159" s="5">
        <v>50241</v>
      </c>
      <c r="J159" s="4">
        <v>4.5424175936899402</v>
      </c>
      <c r="K159" s="4">
        <v>5.0478331783858801</v>
      </c>
    </row>
    <row r="160" spans="7:11" x14ac:dyDescent="0.2">
      <c r="G160" t="s">
        <v>35</v>
      </c>
      <c r="H160" s="2">
        <v>153</v>
      </c>
      <c r="I160" s="5">
        <v>50272</v>
      </c>
      <c r="J160" s="4">
        <v>4.5461306836040496</v>
      </c>
      <c r="K160" s="4">
        <v>5.0481865807146402</v>
      </c>
    </row>
    <row r="161" spans="7:11" x14ac:dyDescent="0.2">
      <c r="G161" t="s">
        <v>35</v>
      </c>
      <c r="H161" s="2">
        <v>154</v>
      </c>
      <c r="I161" s="5">
        <v>50304</v>
      </c>
      <c r="J161" s="4">
        <v>4.54991211164839</v>
      </c>
      <c r="K161" s="4">
        <v>5.04712647264697</v>
      </c>
    </row>
    <row r="162" spans="7:11" x14ac:dyDescent="0.2">
      <c r="G162" t="s">
        <v>35</v>
      </c>
      <c r="H162" s="2">
        <v>155</v>
      </c>
      <c r="I162" s="5">
        <v>50333</v>
      </c>
      <c r="J162" s="4">
        <v>4.5532947733083704</v>
      </c>
      <c r="K162" s="4">
        <v>5.04783317838573</v>
      </c>
    </row>
    <row r="163" spans="7:11" x14ac:dyDescent="0.2">
      <c r="G163" t="s">
        <v>35</v>
      </c>
      <c r="H163" s="2">
        <v>156</v>
      </c>
      <c r="I163" s="5">
        <v>50364</v>
      </c>
      <c r="J163" s="4">
        <v>4.5568650882773296</v>
      </c>
      <c r="K163" s="4">
        <v>5.0478331783856198</v>
      </c>
    </row>
    <row r="164" spans="7:11" x14ac:dyDescent="0.2">
      <c r="G164" t="s">
        <v>35</v>
      </c>
      <c r="H164" s="2">
        <v>157</v>
      </c>
      <c r="I164" s="5">
        <v>50395</v>
      </c>
      <c r="J164" s="4">
        <v>4.56038914514094</v>
      </c>
      <c r="K164" s="4">
        <v>5.0474798090311301</v>
      </c>
    </row>
    <row r="165" spans="7:11" x14ac:dyDescent="0.2">
      <c r="G165" t="s">
        <v>35</v>
      </c>
      <c r="H165" s="2">
        <v>158</v>
      </c>
      <c r="I165" s="5">
        <v>50425</v>
      </c>
      <c r="J165" s="4">
        <v>4.5637563203624802</v>
      </c>
      <c r="K165" s="4">
        <v>5.04854001602145</v>
      </c>
    </row>
    <row r="166" spans="7:11" x14ac:dyDescent="0.2">
      <c r="G166" t="s">
        <v>35</v>
      </c>
      <c r="H166" s="2">
        <v>159</v>
      </c>
      <c r="I166" s="5">
        <v>50458</v>
      </c>
      <c r="J166" s="4">
        <v>4.5674120839461496</v>
      </c>
      <c r="K166" s="4">
        <v>5.0467731692301401</v>
      </c>
    </row>
    <row r="167" spans="7:11" x14ac:dyDescent="0.2">
      <c r="G167" t="s">
        <v>35</v>
      </c>
      <c r="H167" s="2">
        <v>160</v>
      </c>
      <c r="I167" s="5">
        <v>50486</v>
      </c>
      <c r="J167" s="4">
        <v>4.5704751413910802</v>
      </c>
      <c r="K167" s="4">
        <v>5.0471264726473501</v>
      </c>
    </row>
    <row r="168" spans="7:11" x14ac:dyDescent="0.2">
      <c r="G168" t="s">
        <v>35</v>
      </c>
      <c r="H168" s="2">
        <v>161</v>
      </c>
      <c r="I168" s="5">
        <v>50515</v>
      </c>
      <c r="J168" s="4">
        <v>4.5736107296792596</v>
      </c>
      <c r="K168" s="4">
        <v>5.0474798090307598</v>
      </c>
    </row>
    <row r="169" spans="7:11" x14ac:dyDescent="0.2">
      <c r="G169" t="s">
        <v>35</v>
      </c>
      <c r="H169" s="2">
        <v>162</v>
      </c>
      <c r="I169" s="5">
        <v>50545</v>
      </c>
      <c r="J169" s="4">
        <v>4.5768156642203897</v>
      </c>
      <c r="K169" s="4">
        <v>5.0481865807148898</v>
      </c>
    </row>
    <row r="170" spans="7:11" x14ac:dyDescent="0.2">
      <c r="G170" t="s">
        <v>35</v>
      </c>
      <c r="H170" s="2">
        <v>163</v>
      </c>
      <c r="I170" s="5">
        <v>50577</v>
      </c>
      <c r="J170" s="4">
        <v>4.5801915915156597</v>
      </c>
      <c r="K170" s="4">
        <v>5.0471264726466902</v>
      </c>
    </row>
    <row r="171" spans="7:11" x14ac:dyDescent="0.2">
      <c r="G171" t="s">
        <v>35</v>
      </c>
      <c r="H171" s="2">
        <v>164</v>
      </c>
      <c r="I171" s="5">
        <v>50606</v>
      </c>
      <c r="J171" s="4">
        <v>4.5832136729867301</v>
      </c>
      <c r="K171" s="4">
        <v>5.0478331783858801</v>
      </c>
    </row>
    <row r="172" spans="7:11" x14ac:dyDescent="0.2">
      <c r="G172" t="s">
        <v>35</v>
      </c>
      <c r="H172" s="2">
        <v>165</v>
      </c>
      <c r="I172" s="5">
        <v>50637</v>
      </c>
      <c r="J172" s="4">
        <v>4.5864056184711002</v>
      </c>
      <c r="K172" s="4">
        <v>5.0478331783854697</v>
      </c>
    </row>
    <row r="173" spans="7:11" x14ac:dyDescent="0.2">
      <c r="G173" t="s">
        <v>35</v>
      </c>
      <c r="H173" s="2">
        <v>166</v>
      </c>
      <c r="I173" s="5">
        <v>50668</v>
      </c>
      <c r="J173" s="4">
        <v>4.58955844011615</v>
      </c>
      <c r="K173" s="4">
        <v>5.0474798090307598</v>
      </c>
    </row>
    <row r="174" spans="7:11" x14ac:dyDescent="0.2">
      <c r="G174" t="s">
        <v>35</v>
      </c>
      <c r="H174" s="2">
        <v>167</v>
      </c>
      <c r="I174" s="5">
        <v>50698</v>
      </c>
      <c r="J174" s="4">
        <v>4.59257298025486</v>
      </c>
      <c r="K174" s="4">
        <v>5.04854001602145</v>
      </c>
    </row>
    <row r="175" spans="7:11" x14ac:dyDescent="0.2">
      <c r="G175" t="s">
        <v>35</v>
      </c>
      <c r="H175" s="2">
        <v>168</v>
      </c>
      <c r="I175" s="5">
        <v>50731</v>
      </c>
      <c r="J175" s="4">
        <v>4.5958481825946897</v>
      </c>
      <c r="K175" s="4">
        <v>5.0467731692305398</v>
      </c>
    </row>
    <row r="176" spans="7:11" x14ac:dyDescent="0.2">
      <c r="G176" t="s">
        <v>35</v>
      </c>
      <c r="H176" s="2">
        <v>169</v>
      </c>
      <c r="I176" s="5">
        <v>50759</v>
      </c>
      <c r="J176" s="4">
        <v>4.5985942219308704</v>
      </c>
      <c r="K176" s="4">
        <v>5.04783317838573</v>
      </c>
    </row>
    <row r="177" spans="7:11" x14ac:dyDescent="0.2">
      <c r="G177" t="s">
        <v>35</v>
      </c>
      <c r="H177" s="2">
        <v>170</v>
      </c>
      <c r="I177" s="5">
        <v>50790</v>
      </c>
      <c r="J177" s="4">
        <v>4.6015998534380698</v>
      </c>
      <c r="K177" s="4">
        <v>5.0481865807148898</v>
      </c>
    </row>
    <row r="178" spans="7:11" x14ac:dyDescent="0.2">
      <c r="G178" t="s">
        <v>35</v>
      </c>
      <c r="H178" s="2">
        <v>171</v>
      </c>
      <c r="I178" s="5">
        <v>50822</v>
      </c>
      <c r="J178" s="4">
        <v>4.6046649405547999</v>
      </c>
      <c r="K178" s="4">
        <v>5.0467731692304296</v>
      </c>
    </row>
    <row r="179" spans="7:11" x14ac:dyDescent="0.2">
      <c r="G179" t="s">
        <v>35</v>
      </c>
      <c r="H179" s="2">
        <v>172</v>
      </c>
      <c r="I179" s="5">
        <v>50850</v>
      </c>
      <c r="J179" s="4">
        <v>4.6073161842485897</v>
      </c>
      <c r="K179" s="4">
        <v>5.0474798090308699</v>
      </c>
    </row>
    <row r="180" spans="7:11" x14ac:dyDescent="0.2">
      <c r="G180" t="s">
        <v>35</v>
      </c>
      <c r="H180" s="2">
        <v>173</v>
      </c>
      <c r="I180" s="5">
        <v>50880</v>
      </c>
      <c r="J180" s="4">
        <v>4.6101255413747699</v>
      </c>
      <c r="K180" s="4">
        <v>5.0474798090310298</v>
      </c>
    </row>
    <row r="181" spans="7:11" x14ac:dyDescent="0.2">
      <c r="G181" t="s">
        <v>35</v>
      </c>
      <c r="H181" s="2">
        <v>174</v>
      </c>
      <c r="I181" s="5">
        <v>50910</v>
      </c>
      <c r="J181" s="4">
        <v>4.6129030963331097</v>
      </c>
      <c r="K181" s="4">
        <v>5.0478331783854697</v>
      </c>
    </row>
    <row r="182" spans="7:11" x14ac:dyDescent="0.2">
      <c r="G182" t="s">
        <v>35</v>
      </c>
      <c r="H182" s="2">
        <v>175</v>
      </c>
      <c r="I182" s="5">
        <v>50941</v>
      </c>
      <c r="J182" s="4">
        <v>4.6157403967856903</v>
      </c>
      <c r="K182" s="4">
        <v>5.0474798090310298</v>
      </c>
    </row>
    <row r="183" spans="7:11" x14ac:dyDescent="0.2">
      <c r="G183" t="s">
        <v>35</v>
      </c>
      <c r="H183" s="2">
        <v>176</v>
      </c>
      <c r="I183" s="5">
        <v>50971</v>
      </c>
      <c r="J183" s="4">
        <v>4.6184549305121196</v>
      </c>
      <c r="K183" s="4">
        <v>5.04854001602145</v>
      </c>
    </row>
    <row r="184" spans="7:11" x14ac:dyDescent="0.2">
      <c r="G184" t="s">
        <v>35</v>
      </c>
      <c r="H184" s="2">
        <v>177</v>
      </c>
      <c r="I184" s="5">
        <v>51004</v>
      </c>
      <c r="J184" s="4">
        <v>4.6214060443643001</v>
      </c>
      <c r="K184" s="4">
        <v>5.04712647264697</v>
      </c>
    </row>
    <row r="185" spans="7:11" x14ac:dyDescent="0.2">
      <c r="G185" t="s">
        <v>35</v>
      </c>
      <c r="H185" s="2">
        <v>178</v>
      </c>
      <c r="I185" s="5">
        <v>51033</v>
      </c>
      <c r="J185" s="4">
        <v>4.6239697993308804</v>
      </c>
      <c r="K185" s="4">
        <v>5.0474798090310298</v>
      </c>
    </row>
    <row r="186" spans="7:11" x14ac:dyDescent="0.2">
      <c r="G186" t="s">
        <v>35</v>
      </c>
      <c r="H186" s="2">
        <v>179</v>
      </c>
      <c r="I186" s="5">
        <v>51063</v>
      </c>
      <c r="J186" s="4">
        <v>4.62659326561998</v>
      </c>
      <c r="K186" s="4">
        <v>5.0481865807146402</v>
      </c>
    </row>
    <row r="187" spans="7:11" x14ac:dyDescent="0.2">
      <c r="G187" t="s">
        <v>35</v>
      </c>
      <c r="H187" s="2">
        <v>180</v>
      </c>
      <c r="I187" s="5">
        <v>51095</v>
      </c>
      <c r="J187" s="4">
        <v>4.6293599999999797</v>
      </c>
      <c r="K187" s="4">
        <v>5.0001221664978299</v>
      </c>
    </row>
    <row r="188" spans="7:11" x14ac:dyDescent="0.2">
      <c r="G188" t="s">
        <v>35</v>
      </c>
      <c r="H188" s="2">
        <v>181</v>
      </c>
      <c r="I188" s="5">
        <v>51124</v>
      </c>
      <c r="J188" s="4">
        <v>4.6315874247372202</v>
      </c>
      <c r="K188" s="4">
        <v>5.0008157784427798</v>
      </c>
    </row>
    <row r="189" spans="7:11" x14ac:dyDescent="0.2">
      <c r="G189" t="s">
        <v>35</v>
      </c>
      <c r="H189" s="2">
        <v>182</v>
      </c>
      <c r="I189" s="5">
        <v>51155</v>
      </c>
      <c r="J189" s="4">
        <v>4.6339426992514801</v>
      </c>
      <c r="K189" s="4">
        <v>5.0008157784427798</v>
      </c>
    </row>
    <row r="190" spans="7:11" x14ac:dyDescent="0.2">
      <c r="G190" t="s">
        <v>35</v>
      </c>
      <c r="H190" s="2">
        <v>183</v>
      </c>
      <c r="I190" s="5">
        <v>51186</v>
      </c>
      <c r="J190" s="4">
        <v>4.63627178372343</v>
      </c>
      <c r="K190" s="4">
        <v>5.0001221664978299</v>
      </c>
    </row>
    <row r="191" spans="7:11" x14ac:dyDescent="0.2">
      <c r="G191" t="s">
        <v>35</v>
      </c>
      <c r="H191" s="2">
        <v>184</v>
      </c>
      <c r="I191" s="5">
        <v>51215</v>
      </c>
      <c r="J191" s="4">
        <v>4.6384272796200099</v>
      </c>
      <c r="K191" s="4">
        <v>5.0008157784426803</v>
      </c>
    </row>
    <row r="192" spans="7:11" x14ac:dyDescent="0.2">
      <c r="G192" t="s">
        <v>35</v>
      </c>
      <c r="H192" s="2">
        <v>185</v>
      </c>
      <c r="I192" s="5">
        <v>51246</v>
      </c>
      <c r="J192" s="4">
        <v>4.6407068993278999</v>
      </c>
      <c r="K192" s="4">
        <v>5.0008157784427798</v>
      </c>
    </row>
    <row r="193" spans="7:11" x14ac:dyDescent="0.2">
      <c r="G193" t="s">
        <v>35</v>
      </c>
      <c r="H193" s="2">
        <v>186</v>
      </c>
      <c r="I193" s="5">
        <v>51277</v>
      </c>
      <c r="J193" s="4">
        <v>4.6429615773262398</v>
      </c>
      <c r="K193" s="4">
        <v>5.0004689564408302</v>
      </c>
    </row>
    <row r="194" spans="7:11" x14ac:dyDescent="0.2">
      <c r="G194" t="s">
        <v>35</v>
      </c>
      <c r="H194" s="2">
        <v>187</v>
      </c>
      <c r="I194" s="5">
        <v>51307</v>
      </c>
      <c r="J194" s="4">
        <v>4.6451201594690499</v>
      </c>
      <c r="K194" s="4">
        <v>5.0004689564408302</v>
      </c>
    </row>
    <row r="195" spans="7:11" x14ac:dyDescent="0.2">
      <c r="G195" t="s">
        <v>35</v>
      </c>
      <c r="H195" s="2">
        <v>188</v>
      </c>
      <c r="I195" s="5">
        <v>51337</v>
      </c>
      <c r="J195" s="4">
        <v>4.6472561255114497</v>
      </c>
      <c r="K195" s="4">
        <v>5.0008157784427798</v>
      </c>
    </row>
    <row r="196" spans="7:11" x14ac:dyDescent="0.2">
      <c r="G196" t="s">
        <v>35</v>
      </c>
      <c r="H196" s="2">
        <v>189</v>
      </c>
      <c r="I196" s="5">
        <v>51368</v>
      </c>
      <c r="J196" s="4">
        <v>4.6494399064704899</v>
      </c>
      <c r="K196" s="4">
        <v>5.0008157784426803</v>
      </c>
    </row>
    <row r="197" spans="7:11" x14ac:dyDescent="0.2">
      <c r="G197" t="s">
        <v>35</v>
      </c>
      <c r="H197" s="2">
        <v>190</v>
      </c>
      <c r="I197" s="5">
        <v>51399</v>
      </c>
      <c r="J197" s="4">
        <v>4.6516002978709299</v>
      </c>
      <c r="K197" s="4">
        <v>5.0011626325070697</v>
      </c>
    </row>
    <row r="198" spans="7:11" x14ac:dyDescent="0.2">
      <c r="G198" t="s">
        <v>35</v>
      </c>
      <c r="H198" s="2">
        <v>191</v>
      </c>
      <c r="I198" s="5">
        <v>51431</v>
      </c>
      <c r="J198" s="4">
        <v>4.6538062420352402</v>
      </c>
      <c r="K198" s="4">
        <v>5.0001221664980999</v>
      </c>
    </row>
    <row r="199" spans="7:11" x14ac:dyDescent="0.2">
      <c r="G199" t="s">
        <v>35</v>
      </c>
      <c r="H199" s="2">
        <v>192</v>
      </c>
      <c r="I199" s="5">
        <v>51460</v>
      </c>
      <c r="J199" s="4">
        <v>4.65578453205437</v>
      </c>
      <c r="K199" s="4">
        <v>5.0004689564409297</v>
      </c>
    </row>
    <row r="200" spans="7:11" x14ac:dyDescent="0.2">
      <c r="G200" t="s">
        <v>35</v>
      </c>
      <c r="H200" s="2">
        <v>193</v>
      </c>
      <c r="I200" s="5">
        <v>51490</v>
      </c>
      <c r="J200" s="4">
        <v>4.6578105031370898</v>
      </c>
      <c r="K200" s="4">
        <v>5.0011626325070697</v>
      </c>
    </row>
    <row r="201" spans="7:11" x14ac:dyDescent="0.2">
      <c r="G201" t="s">
        <v>35</v>
      </c>
      <c r="H201" s="2">
        <v>194</v>
      </c>
      <c r="I201" s="5">
        <v>51522</v>
      </c>
      <c r="J201" s="4">
        <v>4.6599488745948703</v>
      </c>
      <c r="K201" s="4">
        <v>5.0004689564409297</v>
      </c>
    </row>
    <row r="202" spans="7:11" x14ac:dyDescent="0.2">
      <c r="G202" t="s">
        <v>35</v>
      </c>
      <c r="H202" s="2">
        <v>195</v>
      </c>
      <c r="I202" s="5">
        <v>51552</v>
      </c>
      <c r="J202" s="4">
        <v>4.6619326789939297</v>
      </c>
      <c r="K202" s="4">
        <v>4.9997754086109101</v>
      </c>
    </row>
    <row r="203" spans="7:11" x14ac:dyDescent="0.2">
      <c r="G203" t="s">
        <v>35</v>
      </c>
      <c r="H203" s="2">
        <v>196</v>
      </c>
      <c r="I203" s="5">
        <v>51580</v>
      </c>
      <c r="J203" s="4">
        <v>4.6637662405038904</v>
      </c>
      <c r="K203" s="4">
        <v>5.0015095186373104</v>
      </c>
    </row>
    <row r="204" spans="7:11" x14ac:dyDescent="0.2">
      <c r="G204" t="s">
        <v>35</v>
      </c>
      <c r="H204" s="2">
        <v>197</v>
      </c>
      <c r="I204" s="5">
        <v>51613</v>
      </c>
      <c r="J204" s="4">
        <v>4.6659052634850298</v>
      </c>
      <c r="K204" s="4">
        <v>4.9997754086105699</v>
      </c>
    </row>
    <row r="205" spans="7:11" x14ac:dyDescent="0.2">
      <c r="G205" t="s">
        <v>35</v>
      </c>
      <c r="H205" s="2">
        <v>198</v>
      </c>
      <c r="I205" s="5">
        <v>51641</v>
      </c>
      <c r="J205" s="4">
        <v>4.6677018341378496</v>
      </c>
      <c r="K205" s="4">
        <v>5.0008157784426803</v>
      </c>
    </row>
    <row r="206" spans="7:11" x14ac:dyDescent="0.2">
      <c r="G206" t="s">
        <v>35</v>
      </c>
      <c r="H206" s="2">
        <v>199</v>
      </c>
      <c r="I206" s="5">
        <v>51672</v>
      </c>
      <c r="J206" s="4">
        <v>4.6696715343963504</v>
      </c>
      <c r="K206" s="4">
        <v>5.0011626325070697</v>
      </c>
    </row>
    <row r="207" spans="7:11" x14ac:dyDescent="0.2">
      <c r="G207" t="s">
        <v>35</v>
      </c>
      <c r="H207" s="2">
        <v>200</v>
      </c>
      <c r="I207" s="5">
        <v>51704</v>
      </c>
      <c r="J207" s="4">
        <v>4.6716837525305097</v>
      </c>
      <c r="K207" s="4">
        <v>5.0001221664980999</v>
      </c>
    </row>
    <row r="208" spans="7:11" x14ac:dyDescent="0.2">
      <c r="G208" t="s">
        <v>35</v>
      </c>
      <c r="H208" s="2">
        <v>201</v>
      </c>
      <c r="I208" s="5">
        <v>51733</v>
      </c>
      <c r="J208" s="4">
        <v>4.6734891570048704</v>
      </c>
      <c r="K208" s="4">
        <v>5.0008157784429397</v>
      </c>
    </row>
    <row r="209" spans="7:11" x14ac:dyDescent="0.2">
      <c r="G209" t="s">
        <v>35</v>
      </c>
      <c r="H209" s="2">
        <v>202</v>
      </c>
      <c r="I209" s="5">
        <v>51764</v>
      </c>
      <c r="J209" s="4">
        <v>4.6754002549182996</v>
      </c>
      <c r="K209" s="4">
        <v>5.0008157784426297</v>
      </c>
    </row>
    <row r="210" spans="7:11" x14ac:dyDescent="0.2">
      <c r="G210" t="s">
        <v>35</v>
      </c>
      <c r="H210" s="2">
        <v>203</v>
      </c>
      <c r="I210" s="5">
        <v>51795</v>
      </c>
      <c r="J210" s="4">
        <v>4.6772921944786603</v>
      </c>
      <c r="K210" s="4">
        <v>5.0004689564409901</v>
      </c>
    </row>
    <row r="211" spans="7:11" x14ac:dyDescent="0.2">
      <c r="G211" t="s">
        <v>35</v>
      </c>
      <c r="H211" s="2">
        <v>204</v>
      </c>
      <c r="I211" s="5">
        <v>51825</v>
      </c>
      <c r="J211" s="4">
        <v>4.6791051324651898</v>
      </c>
      <c r="K211" s="4">
        <v>5.0004689564409297</v>
      </c>
    </row>
    <row r="212" spans="7:11" x14ac:dyDescent="0.2">
      <c r="G212" t="s">
        <v>35</v>
      </c>
      <c r="H212" s="2">
        <v>205</v>
      </c>
      <c r="I212" s="5">
        <v>51855</v>
      </c>
      <c r="J212" s="4">
        <v>4.6809006513889102</v>
      </c>
      <c r="K212" s="4">
        <v>5.0008157784426803</v>
      </c>
    </row>
    <row r="213" spans="7:11" x14ac:dyDescent="0.2">
      <c r="G213" t="s">
        <v>35</v>
      </c>
      <c r="H213" s="2">
        <v>206</v>
      </c>
      <c r="I213" s="5">
        <v>51886</v>
      </c>
      <c r="J213" s="4">
        <v>4.6827379866038603</v>
      </c>
      <c r="K213" s="4">
        <v>5.0008157784428899</v>
      </c>
    </row>
    <row r="214" spans="7:11" x14ac:dyDescent="0.2">
      <c r="G214" t="s">
        <v>35</v>
      </c>
      <c r="H214" s="2">
        <v>207</v>
      </c>
      <c r="I214" s="5">
        <v>51917</v>
      </c>
      <c r="J214" s="4">
        <v>4.6845572592272102</v>
      </c>
      <c r="K214" s="4">
        <v>4.9997754086106303</v>
      </c>
    </row>
    <row r="215" spans="7:11" x14ac:dyDescent="0.2">
      <c r="G215" t="s">
        <v>35</v>
      </c>
      <c r="H215" s="2">
        <v>208</v>
      </c>
      <c r="I215" s="5">
        <v>51945</v>
      </c>
      <c r="J215" s="4">
        <v>4.6861851686012201</v>
      </c>
      <c r="K215" s="4">
        <v>5.0011626325070697</v>
      </c>
    </row>
    <row r="216" spans="7:11" x14ac:dyDescent="0.2">
      <c r="G216" t="s">
        <v>35</v>
      </c>
      <c r="H216" s="2">
        <v>209</v>
      </c>
      <c r="I216" s="5">
        <v>51977</v>
      </c>
      <c r="J216" s="4">
        <v>4.6880281032580999</v>
      </c>
      <c r="K216" s="4">
        <v>5.0001221664978299</v>
      </c>
    </row>
    <row r="217" spans="7:11" x14ac:dyDescent="0.2">
      <c r="G217" t="s">
        <v>35</v>
      </c>
      <c r="H217" s="2">
        <v>210</v>
      </c>
      <c r="I217" s="5">
        <v>52006</v>
      </c>
      <c r="J217" s="4">
        <v>4.6896823333024296</v>
      </c>
      <c r="K217" s="4">
        <v>5.0008157784429397</v>
      </c>
    </row>
    <row r="218" spans="7:11" x14ac:dyDescent="0.2">
      <c r="G218" t="s">
        <v>35</v>
      </c>
      <c r="H218" s="2">
        <v>211</v>
      </c>
      <c r="I218" s="5">
        <v>52037</v>
      </c>
      <c r="J218" s="4">
        <v>4.6914341390188703</v>
      </c>
      <c r="K218" s="4">
        <v>5.0008157784428899</v>
      </c>
    </row>
    <row r="219" spans="7:11" x14ac:dyDescent="0.2">
      <c r="G219" t="s">
        <v>35</v>
      </c>
      <c r="H219" s="2">
        <v>212</v>
      </c>
      <c r="I219" s="5">
        <v>52068</v>
      </c>
      <c r="J219" s="4">
        <v>4.69316912566957</v>
      </c>
      <c r="K219" s="4">
        <v>5.0004689564407201</v>
      </c>
    </row>
    <row r="220" spans="7:11" x14ac:dyDescent="0.2">
      <c r="G220" t="s">
        <v>35</v>
      </c>
      <c r="H220" s="2">
        <v>213</v>
      </c>
      <c r="I220" s="5">
        <v>52098</v>
      </c>
      <c r="J220" s="4">
        <v>4.6948323581085001</v>
      </c>
      <c r="K220" s="4">
        <v>5.0015095186372598</v>
      </c>
    </row>
    <row r="221" spans="7:11" x14ac:dyDescent="0.2">
      <c r="G221" t="s">
        <v>35</v>
      </c>
      <c r="H221" s="2">
        <v>214</v>
      </c>
      <c r="I221" s="5">
        <v>52131</v>
      </c>
      <c r="J221" s="4">
        <v>4.6966442373820101</v>
      </c>
      <c r="K221" s="4">
        <v>4.9997754086106303</v>
      </c>
    </row>
    <row r="222" spans="7:11" x14ac:dyDescent="0.2">
      <c r="G222" t="s">
        <v>35</v>
      </c>
      <c r="H222" s="2">
        <v>215</v>
      </c>
      <c r="I222" s="5">
        <v>52159</v>
      </c>
      <c r="J222" s="4">
        <v>4.6981672692570697</v>
      </c>
      <c r="K222" s="4">
        <v>5.0008157784429397</v>
      </c>
    </row>
    <row r="223" spans="7:11" x14ac:dyDescent="0.2">
      <c r="G223" t="s">
        <v>35</v>
      </c>
      <c r="H223" s="2">
        <v>216</v>
      </c>
      <c r="I223" s="5">
        <v>52190</v>
      </c>
      <c r="J223" s="4">
        <v>4.6998383628104703</v>
      </c>
      <c r="K223" s="4">
        <v>5.0011626325070697</v>
      </c>
    </row>
    <row r="224" spans="7:11" x14ac:dyDescent="0.2">
      <c r="G224" t="s">
        <v>35</v>
      </c>
      <c r="H224" s="2">
        <v>217</v>
      </c>
      <c r="I224" s="5">
        <v>52222</v>
      </c>
      <c r="J224" s="4">
        <v>4.7015469257601303</v>
      </c>
      <c r="K224" s="4">
        <v>5.0001221664978299</v>
      </c>
    </row>
    <row r="225" spans="7:11" x14ac:dyDescent="0.2">
      <c r="G225" t="s">
        <v>35</v>
      </c>
      <c r="H225" s="2">
        <v>218</v>
      </c>
      <c r="I225" s="5">
        <v>52251</v>
      </c>
      <c r="J225" s="4">
        <v>4.70308108774256</v>
      </c>
      <c r="K225" s="4">
        <v>5.0008157784428899</v>
      </c>
    </row>
    <row r="226" spans="7:11" x14ac:dyDescent="0.2">
      <c r="G226" t="s">
        <v>35</v>
      </c>
      <c r="H226" s="2">
        <v>219</v>
      </c>
      <c r="I226" s="5">
        <v>52282</v>
      </c>
      <c r="J226" s="4">
        <v>4.7047063053688998</v>
      </c>
      <c r="K226" s="4">
        <v>4.9997754086106303</v>
      </c>
    </row>
    <row r="227" spans="7:11" x14ac:dyDescent="0.2">
      <c r="G227" t="s">
        <v>35</v>
      </c>
      <c r="H227" s="2">
        <v>220</v>
      </c>
      <c r="I227" s="5">
        <v>52310</v>
      </c>
      <c r="J227" s="4">
        <v>4.7061613166078997</v>
      </c>
      <c r="K227" s="4">
        <v>5.0008157784426803</v>
      </c>
    </row>
    <row r="228" spans="7:11" x14ac:dyDescent="0.2">
      <c r="G228" t="s">
        <v>35</v>
      </c>
      <c r="H228" s="2">
        <v>221</v>
      </c>
      <c r="I228" s="5">
        <v>52341</v>
      </c>
      <c r="J228" s="4">
        <v>4.7077581009612697</v>
      </c>
      <c r="K228" s="4">
        <v>5.0004689564409297</v>
      </c>
    </row>
    <row r="229" spans="7:11" x14ac:dyDescent="0.2">
      <c r="G229" t="s">
        <v>35</v>
      </c>
      <c r="H229" s="2">
        <v>222</v>
      </c>
      <c r="I229" s="5">
        <v>52371</v>
      </c>
      <c r="J229" s="4">
        <v>4.7092894334694897</v>
      </c>
      <c r="K229" s="4">
        <v>5.0015095186372598</v>
      </c>
    </row>
    <row r="230" spans="7:11" x14ac:dyDescent="0.2">
      <c r="G230" t="s">
        <v>35</v>
      </c>
      <c r="H230" s="2">
        <v>223</v>
      </c>
      <c r="I230" s="5">
        <v>52404</v>
      </c>
      <c r="J230" s="4">
        <v>4.7109582786041901</v>
      </c>
      <c r="K230" s="4">
        <v>4.9997754086109101</v>
      </c>
    </row>
    <row r="231" spans="7:11" x14ac:dyDescent="0.2">
      <c r="G231" t="s">
        <v>35</v>
      </c>
      <c r="H231" s="2">
        <v>224</v>
      </c>
      <c r="I231" s="5">
        <v>52432</v>
      </c>
      <c r="J231" s="4">
        <v>4.7123616065015499</v>
      </c>
      <c r="K231" s="4">
        <v>5.0008157784429397</v>
      </c>
    </row>
    <row r="232" spans="7:11" x14ac:dyDescent="0.2">
      <c r="G232" t="s">
        <v>35</v>
      </c>
      <c r="H232" s="2">
        <v>225</v>
      </c>
      <c r="I232" s="5">
        <v>52463</v>
      </c>
      <c r="J232" s="4">
        <v>4.7139019140705498</v>
      </c>
      <c r="K232" s="4">
        <v>5.0011626325070697</v>
      </c>
    </row>
    <row r="233" spans="7:11" x14ac:dyDescent="0.2">
      <c r="G233" t="s">
        <v>35</v>
      </c>
      <c r="H233" s="2">
        <v>226</v>
      </c>
      <c r="I233" s="5">
        <v>52495</v>
      </c>
      <c r="J233" s="4">
        <v>4.7154773593066901</v>
      </c>
      <c r="K233" s="4">
        <v>5.0001221664978299</v>
      </c>
    </row>
    <row r="234" spans="7:11" x14ac:dyDescent="0.2">
      <c r="G234" t="s">
        <v>35</v>
      </c>
      <c r="H234" s="2">
        <v>227</v>
      </c>
      <c r="I234" s="5">
        <v>52524</v>
      </c>
      <c r="J234" s="4">
        <v>4.7168925093925598</v>
      </c>
      <c r="K234" s="4">
        <v>5.0008157784428899</v>
      </c>
    </row>
    <row r="235" spans="7:11" x14ac:dyDescent="0.2">
      <c r="G235" t="s">
        <v>35</v>
      </c>
      <c r="H235" s="2">
        <v>228</v>
      </c>
      <c r="I235" s="5">
        <v>52555</v>
      </c>
      <c r="J235" s="4">
        <v>4.7183921863265299</v>
      </c>
      <c r="K235" s="4">
        <v>5.0008157784429397</v>
      </c>
    </row>
    <row r="236" spans="7:11" x14ac:dyDescent="0.2">
      <c r="G236" t="s">
        <v>35</v>
      </c>
      <c r="H236" s="2">
        <v>229</v>
      </c>
      <c r="I236" s="5">
        <v>52586</v>
      </c>
      <c r="J236" s="4">
        <v>4.7198785340759803</v>
      </c>
      <c r="K236" s="4">
        <v>5.0004689564406704</v>
      </c>
    </row>
    <row r="237" spans="7:11" x14ac:dyDescent="0.2">
      <c r="G237" t="s">
        <v>35</v>
      </c>
      <c r="H237" s="2">
        <v>230</v>
      </c>
      <c r="I237" s="5">
        <v>52616</v>
      </c>
      <c r="J237" s="4">
        <v>4.7213044106279201</v>
      </c>
      <c r="K237" s="4">
        <v>5.0015095186373104</v>
      </c>
    </row>
    <row r="238" spans="7:11" x14ac:dyDescent="0.2">
      <c r="G238" t="s">
        <v>35</v>
      </c>
      <c r="H238" s="2">
        <v>231</v>
      </c>
      <c r="I238" s="5">
        <v>52649</v>
      </c>
      <c r="J238" s="4">
        <v>4.7228588362071999</v>
      </c>
      <c r="K238" s="4">
        <v>4.9997754086105699</v>
      </c>
    </row>
    <row r="239" spans="7:11" x14ac:dyDescent="0.2">
      <c r="G239" t="s">
        <v>35</v>
      </c>
      <c r="H239" s="2">
        <v>232</v>
      </c>
      <c r="I239" s="5">
        <v>52677</v>
      </c>
      <c r="J239" s="4">
        <v>4.7241663578609501</v>
      </c>
      <c r="K239" s="4">
        <v>5.0004689564409901</v>
      </c>
    </row>
    <row r="240" spans="7:11" x14ac:dyDescent="0.2">
      <c r="G240" t="s">
        <v>35</v>
      </c>
      <c r="H240" s="2">
        <v>233</v>
      </c>
      <c r="I240" s="5">
        <v>52707</v>
      </c>
      <c r="J240" s="4">
        <v>4.7255558244427398</v>
      </c>
      <c r="K240" s="4">
        <v>5.0004689564409297</v>
      </c>
    </row>
    <row r="241" spans="7:11" x14ac:dyDescent="0.2">
      <c r="G241" t="s">
        <v>35</v>
      </c>
      <c r="H241" s="2">
        <v>234</v>
      </c>
      <c r="I241" s="5">
        <v>52737</v>
      </c>
      <c r="J241" s="4">
        <v>4.7269335929922596</v>
      </c>
      <c r="K241" s="4">
        <v>5.0008157784426803</v>
      </c>
    </row>
    <row r="242" spans="7:11" x14ac:dyDescent="0.2">
      <c r="G242" t="s">
        <v>35</v>
      </c>
      <c r="H242" s="2">
        <v>235</v>
      </c>
      <c r="I242" s="5">
        <v>52768</v>
      </c>
      <c r="J242" s="4">
        <v>4.72834515397067</v>
      </c>
      <c r="K242" s="4">
        <v>5.0004689564406704</v>
      </c>
    </row>
    <row r="243" spans="7:11" x14ac:dyDescent="0.2">
      <c r="G243" t="s">
        <v>35</v>
      </c>
      <c r="H243" s="2">
        <v>236</v>
      </c>
      <c r="I243" s="5">
        <v>52798</v>
      </c>
      <c r="J243" s="4">
        <v>4.7296995875855803</v>
      </c>
      <c r="K243" s="4">
        <v>5.0015095186373104</v>
      </c>
    </row>
    <row r="244" spans="7:11" x14ac:dyDescent="0.2">
      <c r="G244" t="s">
        <v>35</v>
      </c>
      <c r="H244" s="2">
        <v>237</v>
      </c>
      <c r="I244" s="5">
        <v>52831</v>
      </c>
      <c r="J244" s="4">
        <v>4.7311764654533999</v>
      </c>
      <c r="K244" s="4">
        <v>5.0001221664980999</v>
      </c>
    </row>
    <row r="245" spans="7:11" x14ac:dyDescent="0.2">
      <c r="G245" t="s">
        <v>35</v>
      </c>
      <c r="H245" s="2">
        <v>238</v>
      </c>
      <c r="I245" s="5">
        <v>52860</v>
      </c>
      <c r="J245" s="4">
        <v>4.7324632283530601</v>
      </c>
      <c r="K245" s="4">
        <v>5.0004689564406704</v>
      </c>
    </row>
    <row r="246" spans="7:11" x14ac:dyDescent="0.2">
      <c r="G246" t="s">
        <v>35</v>
      </c>
      <c r="H246" s="2">
        <v>239</v>
      </c>
      <c r="I246" s="5">
        <v>52890</v>
      </c>
      <c r="J246" s="4">
        <v>4.7337835738586103</v>
      </c>
      <c r="K246" s="4">
        <v>5.0011626325070697</v>
      </c>
    </row>
    <row r="247" spans="7:11" x14ac:dyDescent="0.2">
      <c r="G247" t="s">
        <v>35</v>
      </c>
      <c r="H247" s="2">
        <v>240</v>
      </c>
      <c r="I247" s="5">
        <v>52922</v>
      </c>
      <c r="J247" s="4">
        <v>4.73517999999999</v>
      </c>
      <c r="K247" s="4">
        <v>4.1634818260960902</v>
      </c>
    </row>
    <row r="248" spans="7:11" x14ac:dyDescent="0.2">
      <c r="G248" t="s">
        <v>35</v>
      </c>
      <c r="H248" s="2">
        <v>241</v>
      </c>
      <c r="I248" s="5">
        <v>52951</v>
      </c>
      <c r="J248" s="4">
        <v>4.7330613585458101</v>
      </c>
      <c r="K248" s="4">
        <v>4.1639628418465398</v>
      </c>
    </row>
    <row r="249" spans="7:11" x14ac:dyDescent="0.2">
      <c r="G249" t="s">
        <v>35</v>
      </c>
      <c r="H249" s="2">
        <v>242</v>
      </c>
      <c r="I249" s="5">
        <v>52982</v>
      </c>
      <c r="J249" s="4">
        <v>4.7308150754684899</v>
      </c>
      <c r="K249" s="4">
        <v>4.1639628418464598</v>
      </c>
    </row>
    <row r="250" spans="7:11" x14ac:dyDescent="0.2">
      <c r="G250" t="s">
        <v>35</v>
      </c>
      <c r="H250" s="2">
        <v>243</v>
      </c>
      <c r="I250" s="5">
        <v>53013</v>
      </c>
      <c r="J250" s="4">
        <v>4.7285876445703598</v>
      </c>
      <c r="K250" s="4">
        <v>4.1632413459959503</v>
      </c>
    </row>
    <row r="251" spans="7:11" x14ac:dyDescent="0.2">
      <c r="G251" t="s">
        <v>35</v>
      </c>
      <c r="H251" s="2">
        <v>244</v>
      </c>
      <c r="I251" s="5">
        <v>53041</v>
      </c>
      <c r="J251" s="4">
        <v>4.7265917786881104</v>
      </c>
      <c r="K251" s="4">
        <v>4.1639628418468</v>
      </c>
    </row>
    <row r="252" spans="7:11" x14ac:dyDescent="0.2">
      <c r="G252" t="s">
        <v>35</v>
      </c>
      <c r="H252" s="2">
        <v>245</v>
      </c>
      <c r="I252" s="5">
        <v>53072</v>
      </c>
      <c r="J252" s="4">
        <v>4.7243995780793702</v>
      </c>
      <c r="K252" s="4">
        <v>4.1642033775003604</v>
      </c>
    </row>
    <row r="253" spans="7:11" x14ac:dyDescent="0.2">
      <c r="G253" t="s">
        <v>35</v>
      </c>
      <c r="H253" s="2">
        <v>246</v>
      </c>
      <c r="I253" s="5">
        <v>53104</v>
      </c>
      <c r="J253" s="4">
        <v>4.7221557245956403</v>
      </c>
      <c r="K253" s="4">
        <v>4.1634818260960902</v>
      </c>
    </row>
    <row r="254" spans="7:11" x14ac:dyDescent="0.2">
      <c r="G254" t="s">
        <v>35</v>
      </c>
      <c r="H254" s="2">
        <v>247</v>
      </c>
      <c r="I254" s="5">
        <v>53133</v>
      </c>
      <c r="J254" s="4">
        <v>4.7201387550316598</v>
      </c>
      <c r="K254" s="4">
        <v>4.1637223247125998</v>
      </c>
    </row>
    <row r="255" spans="7:11" x14ac:dyDescent="0.2">
      <c r="G255" t="s">
        <v>35</v>
      </c>
      <c r="H255" s="2">
        <v>248</v>
      </c>
      <c r="I255" s="5">
        <v>53163</v>
      </c>
      <c r="J255" s="4">
        <v>4.7180685671973901</v>
      </c>
      <c r="K255" s="4">
        <v>4.1642033775001099</v>
      </c>
    </row>
    <row r="256" spans="7:11" x14ac:dyDescent="0.2">
      <c r="G256" t="s">
        <v>35</v>
      </c>
      <c r="H256" s="2">
        <v>249</v>
      </c>
      <c r="I256" s="5">
        <v>53195</v>
      </c>
      <c r="J256" s="4">
        <v>4.7158784538099896</v>
      </c>
      <c r="K256" s="4">
        <v>4.1637223247124204</v>
      </c>
    </row>
    <row r="257" spans="7:11" x14ac:dyDescent="0.2">
      <c r="G257" t="s">
        <v>35</v>
      </c>
      <c r="H257" s="2">
        <v>250</v>
      </c>
      <c r="I257" s="5">
        <v>53225</v>
      </c>
      <c r="J257" s="4">
        <v>4.7138419737648496</v>
      </c>
      <c r="K257" s="4">
        <v>4.1637223247123298</v>
      </c>
    </row>
    <row r="258" spans="7:11" x14ac:dyDescent="0.2">
      <c r="G258" t="s">
        <v>35</v>
      </c>
      <c r="H258" s="2">
        <v>251</v>
      </c>
      <c r="I258" s="5">
        <v>53255</v>
      </c>
      <c r="J258" s="4">
        <v>4.7118215091326299</v>
      </c>
      <c r="K258" s="4">
        <v>4.1639628418468</v>
      </c>
    </row>
    <row r="259" spans="7:11" x14ac:dyDescent="0.2">
      <c r="G259" t="s">
        <v>35</v>
      </c>
      <c r="H259" s="2">
        <v>252</v>
      </c>
      <c r="I259" s="5">
        <v>53286</v>
      </c>
      <c r="J259" s="4">
        <v>4.7097503208920299</v>
      </c>
      <c r="K259" s="4">
        <v>4.1637223247123298</v>
      </c>
    </row>
    <row r="260" spans="7:11" x14ac:dyDescent="0.2">
      <c r="G260" t="s">
        <v>35</v>
      </c>
      <c r="H260" s="2">
        <v>253</v>
      </c>
      <c r="I260" s="5">
        <v>53316</v>
      </c>
      <c r="J260" s="4">
        <v>4.7077618437130697</v>
      </c>
      <c r="K260" s="4">
        <v>4.1644439316747199</v>
      </c>
    </row>
    <row r="261" spans="7:11" x14ac:dyDescent="0.2">
      <c r="G261" t="s">
        <v>35</v>
      </c>
      <c r="H261" s="2">
        <v>254</v>
      </c>
      <c r="I261" s="5">
        <v>53349</v>
      </c>
      <c r="J261" s="4">
        <v>4.7055923607727896</v>
      </c>
      <c r="K261" s="4">
        <v>4.1634818260963602</v>
      </c>
    </row>
    <row r="262" spans="7:11" x14ac:dyDescent="0.2">
      <c r="G262" t="s">
        <v>35</v>
      </c>
      <c r="H262" s="2">
        <v>255</v>
      </c>
      <c r="I262" s="5">
        <v>53378</v>
      </c>
      <c r="J262" s="4">
        <v>4.7037010927631204</v>
      </c>
      <c r="K262" s="4">
        <v>4.1632413459956599</v>
      </c>
    </row>
    <row r="263" spans="7:11" x14ac:dyDescent="0.2">
      <c r="G263" t="s">
        <v>35</v>
      </c>
      <c r="H263" s="2">
        <v>256</v>
      </c>
      <c r="I263" s="5">
        <v>53406</v>
      </c>
      <c r="J263" s="4">
        <v>4.7018884186463197</v>
      </c>
      <c r="K263" s="4">
        <v>4.1639628418468</v>
      </c>
    </row>
    <row r="264" spans="7:11" x14ac:dyDescent="0.2">
      <c r="G264" t="s">
        <v>35</v>
      </c>
      <c r="H264" s="2">
        <v>257</v>
      </c>
      <c r="I264" s="5">
        <v>53437</v>
      </c>
      <c r="J264" s="4">
        <v>4.6998966875093604</v>
      </c>
      <c r="K264" s="4">
        <v>4.1639628418464598</v>
      </c>
    </row>
    <row r="265" spans="7:11" x14ac:dyDescent="0.2">
      <c r="G265" t="s">
        <v>35</v>
      </c>
      <c r="H265" s="2">
        <v>258</v>
      </c>
      <c r="I265" s="5">
        <v>53468</v>
      </c>
      <c r="J265" s="4">
        <v>4.69792070238615</v>
      </c>
      <c r="K265" s="4">
        <v>4.1637223247126904</v>
      </c>
    </row>
    <row r="266" spans="7:11" x14ac:dyDescent="0.2">
      <c r="G266" t="s">
        <v>35</v>
      </c>
      <c r="H266" s="2">
        <v>259</v>
      </c>
      <c r="I266" s="5">
        <v>53498</v>
      </c>
      <c r="J266" s="4">
        <v>4.6960232758160201</v>
      </c>
      <c r="K266" s="4">
        <v>4.1637223247125998</v>
      </c>
    </row>
    <row r="267" spans="7:11" x14ac:dyDescent="0.2">
      <c r="G267" t="s">
        <v>35</v>
      </c>
      <c r="H267" s="2">
        <v>260</v>
      </c>
      <c r="I267" s="5">
        <v>53528</v>
      </c>
      <c r="J267" s="4">
        <v>4.6941402556123899</v>
      </c>
      <c r="K267" s="4">
        <v>4.1639628418465398</v>
      </c>
    </row>
    <row r="268" spans="7:11" x14ac:dyDescent="0.2">
      <c r="G268" t="s">
        <v>35</v>
      </c>
      <c r="H268" s="2">
        <v>261</v>
      </c>
      <c r="I268" s="5">
        <v>53559</v>
      </c>
      <c r="J268" s="4">
        <v>4.6922094291558496</v>
      </c>
      <c r="K268" s="4">
        <v>4.1639628418464598</v>
      </c>
    </row>
    <row r="269" spans="7:11" x14ac:dyDescent="0.2">
      <c r="G269" t="s">
        <v>35</v>
      </c>
      <c r="H269" s="2">
        <v>262</v>
      </c>
      <c r="I269" s="5">
        <v>53590</v>
      </c>
      <c r="J269" s="4">
        <v>4.6902936333967</v>
      </c>
      <c r="K269" s="4">
        <v>4.1642033775003604</v>
      </c>
    </row>
    <row r="270" spans="7:11" x14ac:dyDescent="0.2">
      <c r="G270" t="s">
        <v>35</v>
      </c>
      <c r="H270" s="2">
        <v>263</v>
      </c>
      <c r="I270" s="5">
        <v>53622</v>
      </c>
      <c r="J270" s="4">
        <v>4.6883316182535104</v>
      </c>
      <c r="K270" s="4">
        <v>4.1634818260960902</v>
      </c>
    </row>
    <row r="271" spans="7:11" x14ac:dyDescent="0.2">
      <c r="G271" t="s">
        <v>35</v>
      </c>
      <c r="H271" s="2">
        <v>264</v>
      </c>
      <c r="I271" s="5">
        <v>53651</v>
      </c>
      <c r="J271" s="4">
        <v>4.6865670568670303</v>
      </c>
      <c r="K271" s="4">
        <v>4.1637223247124204</v>
      </c>
    </row>
    <row r="272" spans="7:11" x14ac:dyDescent="0.2">
      <c r="G272" t="s">
        <v>35</v>
      </c>
      <c r="H272" s="2">
        <v>265</v>
      </c>
      <c r="I272" s="5">
        <v>53681</v>
      </c>
      <c r="J272" s="4">
        <v>4.6847550182537798</v>
      </c>
      <c r="K272" s="4">
        <v>4.1642033775003604</v>
      </c>
    </row>
    <row r="273" spans="7:11" x14ac:dyDescent="0.2">
      <c r="G273" t="s">
        <v>35</v>
      </c>
      <c r="H273" s="2">
        <v>266</v>
      </c>
      <c r="I273" s="5">
        <v>53713</v>
      </c>
      <c r="J273" s="4">
        <v>4.6828369946112502</v>
      </c>
      <c r="K273" s="4">
        <v>4.1637223247123298</v>
      </c>
    </row>
    <row r="274" spans="7:11" x14ac:dyDescent="0.2">
      <c r="G274" t="s">
        <v>35</v>
      </c>
      <c r="H274" s="2">
        <v>267</v>
      </c>
      <c r="I274" s="5">
        <v>53743</v>
      </c>
      <c r="J274" s="4">
        <v>4.6810525814545896</v>
      </c>
      <c r="K274" s="4">
        <v>4.1632413459959503</v>
      </c>
    </row>
    <row r="275" spans="7:11" x14ac:dyDescent="0.2">
      <c r="G275" t="s">
        <v>35</v>
      </c>
      <c r="H275" s="2">
        <v>268</v>
      </c>
      <c r="I275" s="5">
        <v>53771</v>
      </c>
      <c r="J275" s="4">
        <v>4.6793989880942597</v>
      </c>
      <c r="K275" s="4">
        <v>4.1644439316747199</v>
      </c>
    </row>
    <row r="276" spans="7:11" x14ac:dyDescent="0.2">
      <c r="G276" t="s">
        <v>35</v>
      </c>
      <c r="H276" s="2">
        <v>269</v>
      </c>
      <c r="I276" s="5">
        <v>53804</v>
      </c>
      <c r="J276" s="4">
        <v>4.6774646461569303</v>
      </c>
      <c r="K276" s="4">
        <v>4.1632413459962301</v>
      </c>
    </row>
    <row r="277" spans="7:11" x14ac:dyDescent="0.2">
      <c r="G277" t="s">
        <v>35</v>
      </c>
      <c r="H277" s="2">
        <v>270</v>
      </c>
      <c r="I277" s="5">
        <v>53832</v>
      </c>
      <c r="J277" s="4">
        <v>4.6758355861073104</v>
      </c>
      <c r="K277" s="4">
        <v>4.1639628418465398</v>
      </c>
    </row>
    <row r="278" spans="7:11" x14ac:dyDescent="0.2">
      <c r="G278" t="s">
        <v>35</v>
      </c>
      <c r="H278" s="2">
        <v>271</v>
      </c>
      <c r="I278" s="5">
        <v>53863</v>
      </c>
      <c r="J278" s="4">
        <v>4.6740449020495198</v>
      </c>
      <c r="K278" s="4">
        <v>4.16420337750061</v>
      </c>
    </row>
    <row r="279" spans="7:11" x14ac:dyDescent="0.2">
      <c r="G279" t="s">
        <v>35</v>
      </c>
      <c r="H279" s="2">
        <v>272</v>
      </c>
      <c r="I279" s="5">
        <v>53895</v>
      </c>
      <c r="J279" s="4">
        <v>4.6722105362120301</v>
      </c>
      <c r="K279" s="4">
        <v>4.1634818260958104</v>
      </c>
    </row>
    <row r="280" spans="7:11" x14ac:dyDescent="0.2">
      <c r="G280" t="s">
        <v>35</v>
      </c>
      <c r="H280" s="2">
        <v>273</v>
      </c>
      <c r="I280" s="5">
        <v>53924</v>
      </c>
      <c r="J280" s="4">
        <v>4.6705603620489802</v>
      </c>
      <c r="K280" s="4">
        <v>4.1639628418467103</v>
      </c>
    </row>
    <row r="281" spans="7:11" x14ac:dyDescent="0.2">
      <c r="G281" t="s">
        <v>35</v>
      </c>
      <c r="H281" s="2">
        <v>274</v>
      </c>
      <c r="I281" s="5">
        <v>53955</v>
      </c>
      <c r="J281" s="4">
        <v>4.6688090893439096</v>
      </c>
      <c r="K281" s="4">
        <v>4.1639628418465398</v>
      </c>
    </row>
    <row r="282" spans="7:11" x14ac:dyDescent="0.2">
      <c r="G282" t="s">
        <v>35</v>
      </c>
      <c r="H282" s="2">
        <v>275</v>
      </c>
      <c r="I282" s="5">
        <v>53986</v>
      </c>
      <c r="J282" s="4">
        <v>4.6670708038479596</v>
      </c>
      <c r="K282" s="4">
        <v>4.1637223247128601</v>
      </c>
    </row>
    <row r="283" spans="7:11" x14ac:dyDescent="0.2">
      <c r="G283" t="s">
        <v>35</v>
      </c>
      <c r="H283" s="2">
        <v>276</v>
      </c>
      <c r="I283" s="5">
        <v>54016</v>
      </c>
      <c r="J283" s="4">
        <v>4.6654008220443197</v>
      </c>
      <c r="K283" s="4">
        <v>4.1637223247124204</v>
      </c>
    </row>
    <row r="284" spans="7:11" x14ac:dyDescent="0.2">
      <c r="G284" t="s">
        <v>35</v>
      </c>
      <c r="H284" s="2">
        <v>277</v>
      </c>
      <c r="I284" s="5">
        <v>54046</v>
      </c>
      <c r="J284" s="4">
        <v>4.66374273971324</v>
      </c>
      <c r="K284" s="4">
        <v>4.1639628418467103</v>
      </c>
    </row>
    <row r="285" spans="7:11" x14ac:dyDescent="0.2">
      <c r="G285" t="s">
        <v>35</v>
      </c>
      <c r="H285" s="2">
        <v>278</v>
      </c>
      <c r="I285" s="5">
        <v>54077</v>
      </c>
      <c r="J285" s="4">
        <v>4.6620417544245703</v>
      </c>
      <c r="K285" s="4">
        <v>4.1639628418468</v>
      </c>
    </row>
    <row r="286" spans="7:11" x14ac:dyDescent="0.2">
      <c r="G286" t="s">
        <v>35</v>
      </c>
      <c r="H286" s="2">
        <v>279</v>
      </c>
      <c r="I286" s="5">
        <v>54108</v>
      </c>
      <c r="J286" s="4">
        <v>4.6603532019936704</v>
      </c>
      <c r="K286" s="4">
        <v>4.1634818260958104</v>
      </c>
    </row>
    <row r="287" spans="7:11" x14ac:dyDescent="0.2">
      <c r="G287" t="s">
        <v>35</v>
      </c>
      <c r="H287" s="2">
        <v>280</v>
      </c>
      <c r="I287" s="5">
        <v>54137</v>
      </c>
      <c r="J287" s="4">
        <v>4.6587847236436701</v>
      </c>
      <c r="K287" s="4">
        <v>4.1639628418468</v>
      </c>
    </row>
    <row r="288" spans="7:11" x14ac:dyDescent="0.2">
      <c r="G288" t="s">
        <v>35</v>
      </c>
      <c r="H288" s="2">
        <v>281</v>
      </c>
      <c r="I288" s="5">
        <v>54168</v>
      </c>
      <c r="J288" s="4">
        <v>4.6571198507326699</v>
      </c>
      <c r="K288" s="4">
        <v>4.1637223247123298</v>
      </c>
    </row>
    <row r="289" spans="7:11" x14ac:dyDescent="0.2">
      <c r="G289" t="s">
        <v>35</v>
      </c>
      <c r="H289" s="2">
        <v>282</v>
      </c>
      <c r="I289" s="5">
        <v>54198</v>
      </c>
      <c r="J289" s="4">
        <v>4.6555201481749204</v>
      </c>
      <c r="K289" s="4">
        <v>4.1644439316752901</v>
      </c>
    </row>
    <row r="290" spans="7:11" x14ac:dyDescent="0.2">
      <c r="G290" t="s">
        <v>35</v>
      </c>
      <c r="H290" s="2">
        <v>283</v>
      </c>
      <c r="I290" s="5">
        <v>54231</v>
      </c>
      <c r="J290" s="4">
        <v>4.65377335782504</v>
      </c>
      <c r="K290" s="4">
        <v>4.1632413459958499</v>
      </c>
    </row>
    <row r="291" spans="7:11" x14ac:dyDescent="0.2">
      <c r="G291" t="s">
        <v>35</v>
      </c>
      <c r="H291" s="2">
        <v>284</v>
      </c>
      <c r="I291" s="5">
        <v>54259</v>
      </c>
      <c r="J291" s="4">
        <v>4.65230170469746</v>
      </c>
      <c r="K291" s="4">
        <v>4.1639628418465398</v>
      </c>
    </row>
    <row r="292" spans="7:11" x14ac:dyDescent="0.2">
      <c r="G292" t="s">
        <v>35</v>
      </c>
      <c r="H292" s="2">
        <v>285</v>
      </c>
      <c r="I292" s="5">
        <v>54290</v>
      </c>
      <c r="J292" s="4">
        <v>4.65068346926674</v>
      </c>
      <c r="K292" s="4">
        <v>4.1642033775001099</v>
      </c>
    </row>
    <row r="293" spans="7:11" x14ac:dyDescent="0.2">
      <c r="G293" t="s">
        <v>35</v>
      </c>
      <c r="H293" s="2">
        <v>286</v>
      </c>
      <c r="I293" s="5">
        <v>54322</v>
      </c>
      <c r="J293" s="4">
        <v>4.6490251338969104</v>
      </c>
      <c r="K293" s="4">
        <v>4.1634818260960902</v>
      </c>
    </row>
    <row r="294" spans="7:11" x14ac:dyDescent="0.2">
      <c r="G294" t="s">
        <v>35</v>
      </c>
      <c r="H294" s="2">
        <v>287</v>
      </c>
      <c r="I294" s="5">
        <v>54351</v>
      </c>
      <c r="J294" s="4">
        <v>4.6475327740735501</v>
      </c>
      <c r="K294" s="4">
        <v>4.1639628418468</v>
      </c>
    </row>
    <row r="295" spans="7:11" x14ac:dyDescent="0.2">
      <c r="G295" t="s">
        <v>35</v>
      </c>
      <c r="H295" s="2">
        <v>288</v>
      </c>
      <c r="I295" s="5">
        <v>54382</v>
      </c>
      <c r="J295" s="4">
        <v>4.6459484238974698</v>
      </c>
      <c r="K295" s="4">
        <v>4.1639628418464598</v>
      </c>
    </row>
    <row r="296" spans="7:11" x14ac:dyDescent="0.2">
      <c r="G296" t="s">
        <v>35</v>
      </c>
      <c r="H296" s="2">
        <v>289</v>
      </c>
      <c r="I296" s="5">
        <v>54413</v>
      </c>
      <c r="J296" s="4">
        <v>4.6443752521316801</v>
      </c>
      <c r="K296" s="4">
        <v>4.1637223247124204</v>
      </c>
    </row>
    <row r="297" spans="7:11" x14ac:dyDescent="0.2">
      <c r="G297" t="s">
        <v>35</v>
      </c>
      <c r="H297" s="2">
        <v>290</v>
      </c>
      <c r="I297" s="5">
        <v>54443</v>
      </c>
      <c r="J297" s="4">
        <v>4.64286336012667</v>
      </c>
      <c r="K297" s="4">
        <v>4.1644439316749704</v>
      </c>
    </row>
    <row r="298" spans="7:11" x14ac:dyDescent="0.2">
      <c r="G298" t="s">
        <v>35</v>
      </c>
      <c r="H298" s="2">
        <v>291</v>
      </c>
      <c r="I298" s="5">
        <v>54476</v>
      </c>
      <c r="J298" s="4">
        <v>4.6412121172037004</v>
      </c>
      <c r="K298" s="4">
        <v>4.1632413459959503</v>
      </c>
    </row>
    <row r="299" spans="7:11" x14ac:dyDescent="0.2">
      <c r="G299" t="s">
        <v>35</v>
      </c>
      <c r="H299" s="2">
        <v>292</v>
      </c>
      <c r="I299" s="5">
        <v>54504</v>
      </c>
      <c r="J299" s="4">
        <v>4.6398206886452797</v>
      </c>
      <c r="K299" s="4">
        <v>4.1634818260960902</v>
      </c>
    </row>
    <row r="300" spans="7:11" x14ac:dyDescent="0.2">
      <c r="G300" t="s">
        <v>35</v>
      </c>
      <c r="H300" s="2">
        <v>293</v>
      </c>
      <c r="I300" s="5">
        <v>54533</v>
      </c>
      <c r="J300" s="4">
        <v>4.6383887881519898</v>
      </c>
      <c r="K300" s="4">
        <v>4.1637223247125998</v>
      </c>
    </row>
    <row r="301" spans="7:11" x14ac:dyDescent="0.2">
      <c r="G301" t="s">
        <v>35</v>
      </c>
      <c r="H301" s="2">
        <v>294</v>
      </c>
      <c r="I301" s="5">
        <v>54563</v>
      </c>
      <c r="J301" s="4">
        <v>4.6369172903312901</v>
      </c>
      <c r="K301" s="4">
        <v>4.1642033775003604</v>
      </c>
    </row>
    <row r="302" spans="7:11" x14ac:dyDescent="0.2">
      <c r="G302" t="s">
        <v>35</v>
      </c>
      <c r="H302" s="2">
        <v>295</v>
      </c>
      <c r="I302" s="5">
        <v>54595</v>
      </c>
      <c r="J302" s="4">
        <v>4.6353585422696</v>
      </c>
      <c r="K302" s="4">
        <v>4.1634818260960902</v>
      </c>
    </row>
    <row r="303" spans="7:11" x14ac:dyDescent="0.2">
      <c r="G303" t="s">
        <v>35</v>
      </c>
      <c r="H303" s="2">
        <v>296</v>
      </c>
      <c r="I303" s="5">
        <v>54624</v>
      </c>
      <c r="J303" s="4">
        <v>4.6339555028826602</v>
      </c>
      <c r="K303" s="4">
        <v>4.1639628418465398</v>
      </c>
    </row>
    <row r="304" spans="7:11" x14ac:dyDescent="0.2">
      <c r="G304" t="s">
        <v>35</v>
      </c>
      <c r="H304" s="2">
        <v>297</v>
      </c>
      <c r="I304" s="5">
        <v>54655</v>
      </c>
      <c r="J304" s="4">
        <v>4.63246566822035</v>
      </c>
      <c r="K304" s="4">
        <v>4.1639628418467103</v>
      </c>
    </row>
    <row r="305" spans="7:11" x14ac:dyDescent="0.2">
      <c r="G305" t="s">
        <v>35</v>
      </c>
      <c r="H305" s="2">
        <v>298</v>
      </c>
      <c r="I305" s="5">
        <v>54686</v>
      </c>
      <c r="J305" s="4">
        <v>4.6309860283896498</v>
      </c>
      <c r="K305" s="4">
        <v>4.1637223247124204</v>
      </c>
    </row>
    <row r="306" spans="7:11" x14ac:dyDescent="0.2">
      <c r="G306" t="s">
        <v>35</v>
      </c>
      <c r="H306" s="2">
        <v>299</v>
      </c>
      <c r="I306" s="5">
        <v>54716</v>
      </c>
      <c r="J306" s="4">
        <v>4.6295637274754498</v>
      </c>
      <c r="K306" s="4">
        <v>4.1644439316749704</v>
      </c>
    </row>
    <row r="307" spans="7:11" x14ac:dyDescent="0.2">
      <c r="G307" t="s">
        <v>35</v>
      </c>
      <c r="H307" s="2">
        <v>300</v>
      </c>
      <c r="I307" s="5">
        <v>54749</v>
      </c>
      <c r="J307" s="4">
        <v>4.6280100000000202</v>
      </c>
      <c r="K307" s="4">
        <v>4.1624238696344804</v>
      </c>
    </row>
    <row r="308" spans="7:11" x14ac:dyDescent="0.2">
      <c r="G308" t="s">
        <v>35</v>
      </c>
      <c r="H308" s="2">
        <v>301</v>
      </c>
      <c r="I308" s="5">
        <v>54777</v>
      </c>
      <c r="J308" s="4">
        <v>4.6266979250350699</v>
      </c>
      <c r="K308" s="4">
        <v>4.1631450823095504</v>
      </c>
    </row>
    <row r="309" spans="7:11" x14ac:dyDescent="0.2">
      <c r="G309" t="s">
        <v>35</v>
      </c>
      <c r="H309" s="2">
        <v>302</v>
      </c>
      <c r="I309" s="5">
        <v>54808</v>
      </c>
      <c r="J309" s="4">
        <v>4.6252546043710199</v>
      </c>
      <c r="K309" s="4">
        <v>4.16338552354929</v>
      </c>
    </row>
    <row r="310" spans="7:11" x14ac:dyDescent="0.2">
      <c r="G310" t="s">
        <v>35</v>
      </c>
      <c r="H310" s="2">
        <v>303</v>
      </c>
      <c r="I310" s="5">
        <v>54840</v>
      </c>
      <c r="J310" s="4">
        <v>4.62377491143355</v>
      </c>
      <c r="K310" s="4">
        <v>4.1624238696346696</v>
      </c>
    </row>
    <row r="311" spans="7:11" x14ac:dyDescent="0.2">
      <c r="G311" t="s">
        <v>35</v>
      </c>
      <c r="H311" s="2">
        <v>304</v>
      </c>
      <c r="I311" s="5">
        <v>54868</v>
      </c>
      <c r="J311" s="4">
        <v>4.6224885852490996</v>
      </c>
      <c r="K311" s="4">
        <v>4.1629046595781496</v>
      </c>
    </row>
    <row r="312" spans="7:11" x14ac:dyDescent="0.2">
      <c r="G312" t="s">
        <v>35</v>
      </c>
      <c r="H312" s="2">
        <v>305</v>
      </c>
      <c r="I312" s="5">
        <v>54898</v>
      </c>
      <c r="J312" s="4">
        <v>4.6211189994466402</v>
      </c>
      <c r="K312" s="4">
        <v>4.1629046595780599</v>
      </c>
    </row>
    <row r="313" spans="7:11" x14ac:dyDescent="0.2">
      <c r="G313" t="s">
        <v>35</v>
      </c>
      <c r="H313" s="2">
        <v>306</v>
      </c>
      <c r="I313" s="5">
        <v>54928</v>
      </c>
      <c r="J313" s="4">
        <v>4.61975824737348</v>
      </c>
      <c r="K313" s="4">
        <v>4.1631450823098097</v>
      </c>
    </row>
    <row r="314" spans="7:11" x14ac:dyDescent="0.2">
      <c r="G314" t="s">
        <v>35</v>
      </c>
      <c r="H314" s="2">
        <v>307</v>
      </c>
      <c r="I314" s="5">
        <v>54959</v>
      </c>
      <c r="J314" s="4">
        <v>4.6183613267391603</v>
      </c>
      <c r="K314" s="4">
        <v>4.1629046595783299</v>
      </c>
    </row>
    <row r="315" spans="7:11" x14ac:dyDescent="0.2">
      <c r="G315" t="s">
        <v>35</v>
      </c>
      <c r="H315" s="2">
        <v>308</v>
      </c>
      <c r="I315" s="5">
        <v>54989</v>
      </c>
      <c r="J315" s="4">
        <v>4.6170182750236801</v>
      </c>
      <c r="K315" s="4">
        <v>4.1636259832995099</v>
      </c>
    </row>
    <row r="316" spans="7:11" x14ac:dyDescent="0.2">
      <c r="G316" t="s">
        <v>35</v>
      </c>
      <c r="H316" s="2">
        <v>309</v>
      </c>
      <c r="I316" s="5">
        <v>55022</v>
      </c>
      <c r="J316" s="4">
        <v>4.6155508233331597</v>
      </c>
      <c r="K316" s="4">
        <v>4.1626642553536701</v>
      </c>
    </row>
    <row r="317" spans="7:11" x14ac:dyDescent="0.2">
      <c r="G317" t="s">
        <v>35</v>
      </c>
      <c r="H317" s="2">
        <v>310</v>
      </c>
      <c r="I317" s="5">
        <v>55051</v>
      </c>
      <c r="J317" s="4">
        <v>4.61426972735861</v>
      </c>
      <c r="K317" s="4">
        <v>4.1629046595781496</v>
      </c>
    </row>
    <row r="318" spans="7:11" x14ac:dyDescent="0.2">
      <c r="G318" t="s">
        <v>35</v>
      </c>
      <c r="H318" s="2">
        <v>311</v>
      </c>
      <c r="I318" s="5">
        <v>55081</v>
      </c>
      <c r="J318" s="4">
        <v>4.6129527250924296</v>
      </c>
      <c r="K318" s="4">
        <v>4.1633855235495396</v>
      </c>
    </row>
    <row r="319" spans="7:11" x14ac:dyDescent="0.2">
      <c r="G319" t="s">
        <v>35</v>
      </c>
      <c r="H319" s="2">
        <v>312</v>
      </c>
      <c r="I319" s="5">
        <v>55113</v>
      </c>
      <c r="J319" s="4">
        <v>4.6115571030066702</v>
      </c>
      <c r="K319" s="4">
        <v>4.1626642553539499</v>
      </c>
    </row>
    <row r="320" spans="7:11" x14ac:dyDescent="0.2">
      <c r="G320" t="s">
        <v>35</v>
      </c>
      <c r="H320" s="2">
        <v>313</v>
      </c>
      <c r="I320" s="5">
        <v>55142</v>
      </c>
      <c r="J320" s="4">
        <v>4.6103004277055604</v>
      </c>
      <c r="K320" s="4">
        <v>4.1631450823094696</v>
      </c>
    </row>
    <row r="321" spans="7:11" x14ac:dyDescent="0.2">
      <c r="G321" t="s">
        <v>35</v>
      </c>
      <c r="H321" s="2">
        <v>314</v>
      </c>
      <c r="I321" s="5">
        <v>55173</v>
      </c>
      <c r="J321" s="4">
        <v>4.6089655272630603</v>
      </c>
      <c r="K321" s="4">
        <v>4.1631450823095504</v>
      </c>
    </row>
    <row r="322" spans="7:11" x14ac:dyDescent="0.2">
      <c r="G322" t="s">
        <v>35</v>
      </c>
      <c r="H322" s="2">
        <v>315</v>
      </c>
      <c r="I322" s="5">
        <v>55204</v>
      </c>
      <c r="J322" s="4">
        <v>4.6076392674672997</v>
      </c>
      <c r="K322" s="4">
        <v>4.1624238696344804</v>
      </c>
    </row>
    <row r="323" spans="7:11" x14ac:dyDescent="0.2">
      <c r="G323" t="s">
        <v>35</v>
      </c>
      <c r="H323" s="2">
        <v>316</v>
      </c>
      <c r="I323" s="5">
        <v>55232</v>
      </c>
      <c r="J323" s="4">
        <v>4.6064487126341804</v>
      </c>
      <c r="K323" s="4">
        <v>4.1631450823094696</v>
      </c>
    </row>
    <row r="324" spans="7:11" x14ac:dyDescent="0.2">
      <c r="G324" t="s">
        <v>35</v>
      </c>
      <c r="H324" s="2">
        <v>317</v>
      </c>
      <c r="I324" s="5">
        <v>55263</v>
      </c>
      <c r="J324" s="4">
        <v>4.6051386678032502</v>
      </c>
      <c r="K324" s="4">
        <v>4.1633855235496302</v>
      </c>
    </row>
    <row r="325" spans="7:11" x14ac:dyDescent="0.2">
      <c r="G325" t="s">
        <v>35</v>
      </c>
      <c r="H325" s="2">
        <v>318</v>
      </c>
      <c r="I325" s="5">
        <v>55295</v>
      </c>
      <c r="J325" s="4">
        <v>4.6037951742371703</v>
      </c>
      <c r="K325" s="4">
        <v>4.1626642553538504</v>
      </c>
    </row>
    <row r="326" spans="7:11" x14ac:dyDescent="0.2">
      <c r="G326" t="s">
        <v>35</v>
      </c>
      <c r="H326" s="2">
        <v>319</v>
      </c>
      <c r="I326" s="5">
        <v>55324</v>
      </c>
      <c r="J326" s="4">
        <v>4.6025852911341802</v>
      </c>
      <c r="K326" s="4">
        <v>4.1629046595781496</v>
      </c>
    </row>
    <row r="327" spans="7:11" x14ac:dyDescent="0.2">
      <c r="G327" t="s">
        <v>35</v>
      </c>
      <c r="H327" s="2">
        <v>320</v>
      </c>
      <c r="I327" s="5">
        <v>55354</v>
      </c>
      <c r="J327" s="4">
        <v>4.6013412785213896</v>
      </c>
      <c r="K327" s="4">
        <v>4.1633855235495396</v>
      </c>
    </row>
    <row r="328" spans="7:11" x14ac:dyDescent="0.2">
      <c r="G328" t="s">
        <v>35</v>
      </c>
      <c r="H328" s="2">
        <v>321</v>
      </c>
      <c r="I328" s="5">
        <v>55386</v>
      </c>
      <c r="J328" s="4">
        <v>4.6000227607385602</v>
      </c>
      <c r="K328" s="4">
        <v>4.1629046595780599</v>
      </c>
    </row>
    <row r="329" spans="7:11" x14ac:dyDescent="0.2">
      <c r="G329" t="s">
        <v>35</v>
      </c>
      <c r="H329" s="2">
        <v>322</v>
      </c>
      <c r="I329" s="5">
        <v>55416</v>
      </c>
      <c r="J329" s="4">
        <v>4.5987944782522696</v>
      </c>
      <c r="K329" s="4">
        <v>4.1629046595781496</v>
      </c>
    </row>
    <row r="330" spans="7:11" x14ac:dyDescent="0.2">
      <c r="G330" t="s">
        <v>35</v>
      </c>
      <c r="H330" s="2">
        <v>323</v>
      </c>
      <c r="I330" s="5">
        <v>55446</v>
      </c>
      <c r="J330" s="4">
        <v>4.5975737002188</v>
      </c>
      <c r="K330" s="4">
        <v>4.1631450823094696</v>
      </c>
    </row>
    <row r="331" spans="7:11" x14ac:dyDescent="0.2">
      <c r="G331" t="s">
        <v>35</v>
      </c>
      <c r="H331" s="2">
        <v>324</v>
      </c>
      <c r="I331" s="5">
        <v>55477</v>
      </c>
      <c r="J331" s="4">
        <v>4.5963200406038904</v>
      </c>
      <c r="K331" s="4">
        <v>4.1629046595784196</v>
      </c>
    </row>
    <row r="332" spans="7:11" x14ac:dyDescent="0.2">
      <c r="G332" t="s">
        <v>35</v>
      </c>
      <c r="H332" s="2">
        <v>325</v>
      </c>
      <c r="I332" s="5">
        <v>55507</v>
      </c>
      <c r="J332" s="4">
        <v>4.5951143110602599</v>
      </c>
      <c r="K332" s="4">
        <v>4.1636259832997498</v>
      </c>
    </row>
    <row r="333" spans="7:11" x14ac:dyDescent="0.2">
      <c r="G333" t="s">
        <v>35</v>
      </c>
      <c r="H333" s="2">
        <v>326</v>
      </c>
      <c r="I333" s="5">
        <v>55540</v>
      </c>
      <c r="J333" s="4">
        <v>4.5937964363854897</v>
      </c>
      <c r="K333" s="4">
        <v>4.1626642553533904</v>
      </c>
    </row>
    <row r="334" spans="7:11" x14ac:dyDescent="0.2">
      <c r="G334" t="s">
        <v>35</v>
      </c>
      <c r="H334" s="2">
        <v>327</v>
      </c>
      <c r="I334" s="5">
        <v>55569</v>
      </c>
      <c r="J334" s="4">
        <v>4.5926455253669598</v>
      </c>
      <c r="K334" s="4">
        <v>4.1626642553536701</v>
      </c>
    </row>
    <row r="335" spans="7:11" x14ac:dyDescent="0.2">
      <c r="G335" t="s">
        <v>35</v>
      </c>
      <c r="H335" s="2">
        <v>328</v>
      </c>
      <c r="I335" s="5">
        <v>55598</v>
      </c>
      <c r="J335" s="4">
        <v>4.5915013080874498</v>
      </c>
      <c r="K335" s="4">
        <v>4.1636259832995099</v>
      </c>
    </row>
    <row r="336" spans="7:11" x14ac:dyDescent="0.2">
      <c r="G336" t="s">
        <v>35</v>
      </c>
      <c r="H336" s="2">
        <v>329</v>
      </c>
      <c r="I336" s="5">
        <v>55631</v>
      </c>
      <c r="J336" s="4">
        <v>4.5902073360046796</v>
      </c>
      <c r="K336" s="4">
        <v>4.16242386963477</v>
      </c>
    </row>
    <row r="337" spans="7:11" x14ac:dyDescent="0.2">
      <c r="G337" t="s">
        <v>35</v>
      </c>
      <c r="H337" s="2">
        <v>330</v>
      </c>
      <c r="I337" s="5">
        <v>55659</v>
      </c>
      <c r="J337" s="4">
        <v>4.5891160952700201</v>
      </c>
      <c r="K337" s="4">
        <v>4.1631450823095504</v>
      </c>
    </row>
    <row r="338" spans="7:11" x14ac:dyDescent="0.2">
      <c r="G338" t="s">
        <v>35</v>
      </c>
      <c r="H338" s="2">
        <v>331</v>
      </c>
      <c r="I338" s="5">
        <v>55690</v>
      </c>
      <c r="J338" s="4">
        <v>4.58791501839353</v>
      </c>
      <c r="K338" s="4">
        <v>4.16338552354929</v>
      </c>
    </row>
    <row r="339" spans="7:11" x14ac:dyDescent="0.2">
      <c r="G339" t="s">
        <v>35</v>
      </c>
      <c r="H339" s="2">
        <v>332</v>
      </c>
      <c r="I339" s="5">
        <v>55722</v>
      </c>
      <c r="J339" s="4">
        <v>4.5866829333755597</v>
      </c>
      <c r="K339" s="4">
        <v>4.1626642553539499</v>
      </c>
    </row>
    <row r="340" spans="7:11" x14ac:dyDescent="0.2">
      <c r="G340" t="s">
        <v>35</v>
      </c>
      <c r="H340" s="2">
        <v>333</v>
      </c>
      <c r="I340" s="5">
        <v>55751</v>
      </c>
      <c r="J340" s="4">
        <v>4.5855730830750598</v>
      </c>
      <c r="K340" s="4">
        <v>4.1631450823094696</v>
      </c>
    </row>
    <row r="341" spans="7:11" x14ac:dyDescent="0.2">
      <c r="G341" t="s">
        <v>35</v>
      </c>
      <c r="H341" s="2">
        <v>334</v>
      </c>
      <c r="I341" s="5">
        <v>55782</v>
      </c>
      <c r="J341" s="4">
        <v>4.5843937000880102</v>
      </c>
      <c r="K341" s="4">
        <v>4.1631450823092901</v>
      </c>
    </row>
    <row r="342" spans="7:11" x14ac:dyDescent="0.2">
      <c r="G342" t="s">
        <v>35</v>
      </c>
      <c r="H342" s="2">
        <v>335</v>
      </c>
      <c r="I342" s="5">
        <v>55813</v>
      </c>
      <c r="J342" s="4">
        <v>4.5832214947455698</v>
      </c>
      <c r="K342" s="4">
        <v>4.1629046595784196</v>
      </c>
    </row>
    <row r="343" spans="7:11" x14ac:dyDescent="0.2">
      <c r="G343" t="s">
        <v>35</v>
      </c>
      <c r="H343" s="2">
        <v>336</v>
      </c>
      <c r="I343" s="5">
        <v>55843</v>
      </c>
      <c r="J343" s="4">
        <v>4.58209387501687</v>
      </c>
      <c r="K343" s="4">
        <v>4.1629046595780599</v>
      </c>
    </row>
    <row r="344" spans="7:11" x14ac:dyDescent="0.2">
      <c r="G344" t="s">
        <v>35</v>
      </c>
      <c r="H344" s="2">
        <v>337</v>
      </c>
      <c r="I344" s="5">
        <v>55873</v>
      </c>
      <c r="J344" s="4">
        <v>4.5809728576450901</v>
      </c>
      <c r="K344" s="4">
        <v>4.1631450823098097</v>
      </c>
    </row>
    <row r="345" spans="7:11" x14ac:dyDescent="0.2">
      <c r="G345" t="s">
        <v>35</v>
      </c>
      <c r="H345" s="2">
        <v>338</v>
      </c>
      <c r="I345" s="5">
        <v>55904</v>
      </c>
      <c r="J345" s="4">
        <v>4.5798213477612499</v>
      </c>
      <c r="K345" s="4">
        <v>4.1631450823094696</v>
      </c>
    </row>
    <row r="346" spans="7:11" x14ac:dyDescent="0.2">
      <c r="G346" t="s">
        <v>35</v>
      </c>
      <c r="H346" s="2">
        <v>339</v>
      </c>
      <c r="I346" s="5">
        <v>55935</v>
      </c>
      <c r="J346" s="4">
        <v>4.57867676295667</v>
      </c>
      <c r="K346" s="4">
        <v>4.16242386963477</v>
      </c>
    </row>
    <row r="347" spans="7:11" x14ac:dyDescent="0.2">
      <c r="G347" t="s">
        <v>35</v>
      </c>
      <c r="H347" s="2">
        <v>340</v>
      </c>
      <c r="I347" s="5">
        <v>55963</v>
      </c>
      <c r="J347" s="4">
        <v>4.5776488448551902</v>
      </c>
      <c r="K347" s="4">
        <v>4.16338552354929</v>
      </c>
    </row>
    <row r="348" spans="7:11" x14ac:dyDescent="0.2">
      <c r="G348" t="s">
        <v>35</v>
      </c>
      <c r="H348" s="2">
        <v>341</v>
      </c>
      <c r="I348" s="5">
        <v>55995</v>
      </c>
      <c r="J348" s="4">
        <v>4.5764808787739604</v>
      </c>
      <c r="K348" s="4">
        <v>4.1626642553539499</v>
      </c>
    </row>
    <row r="349" spans="7:11" x14ac:dyDescent="0.2">
      <c r="G349" t="s">
        <v>35</v>
      </c>
      <c r="H349" s="2">
        <v>342</v>
      </c>
      <c r="I349" s="5">
        <v>56024</v>
      </c>
      <c r="J349" s="4">
        <v>4.5754286187802</v>
      </c>
      <c r="K349" s="4">
        <v>4.1631450823095504</v>
      </c>
    </row>
    <row r="350" spans="7:11" x14ac:dyDescent="0.2">
      <c r="G350" t="s">
        <v>35</v>
      </c>
      <c r="H350" s="2">
        <v>343</v>
      </c>
      <c r="I350" s="5">
        <v>56055</v>
      </c>
      <c r="J350" s="4">
        <v>4.5743102602223003</v>
      </c>
      <c r="K350" s="4">
        <v>4.16314508230972</v>
      </c>
    </row>
    <row r="351" spans="7:11" x14ac:dyDescent="0.2">
      <c r="G351" t="s">
        <v>35</v>
      </c>
      <c r="H351" s="2">
        <v>344</v>
      </c>
      <c r="I351" s="5">
        <v>56086</v>
      </c>
      <c r="J351" s="4">
        <v>4.5731985302865903</v>
      </c>
      <c r="K351" s="4">
        <v>4.1629046595781496</v>
      </c>
    </row>
    <row r="352" spans="7:11" x14ac:dyDescent="0.2">
      <c r="G352" t="s">
        <v>35</v>
      </c>
      <c r="H352" s="2">
        <v>345</v>
      </c>
      <c r="I352" s="5">
        <v>56116</v>
      </c>
      <c r="J352" s="4">
        <v>4.5721289185883096</v>
      </c>
      <c r="K352" s="4">
        <v>4.1636259832995099</v>
      </c>
    </row>
    <row r="353" spans="7:11" x14ac:dyDescent="0.2">
      <c r="G353" t="s">
        <v>35</v>
      </c>
      <c r="H353" s="2">
        <v>346</v>
      </c>
      <c r="I353" s="5">
        <v>56149</v>
      </c>
      <c r="J353" s="4">
        <v>4.5709593894407403</v>
      </c>
      <c r="K353" s="4">
        <v>4.16242386963477</v>
      </c>
    </row>
    <row r="354" spans="7:11" x14ac:dyDescent="0.2">
      <c r="G354" t="s">
        <v>35</v>
      </c>
      <c r="H354" s="2">
        <v>347</v>
      </c>
      <c r="I354" s="5">
        <v>56177</v>
      </c>
      <c r="J354" s="4">
        <v>4.5699727985319099</v>
      </c>
      <c r="K354" s="4">
        <v>4.16314508230972</v>
      </c>
    </row>
    <row r="355" spans="7:11" x14ac:dyDescent="0.2">
      <c r="G355" t="s">
        <v>35</v>
      </c>
      <c r="H355" s="2">
        <v>348</v>
      </c>
      <c r="I355" s="5">
        <v>56208</v>
      </c>
      <c r="J355" s="4">
        <v>4.5688865913159997</v>
      </c>
      <c r="K355" s="4">
        <v>4.1633855235493797</v>
      </c>
    </row>
    <row r="356" spans="7:11" x14ac:dyDescent="0.2">
      <c r="G356" t="s">
        <v>35</v>
      </c>
      <c r="H356" s="2">
        <v>349</v>
      </c>
      <c r="I356" s="5">
        <v>56240</v>
      </c>
      <c r="J356" s="4">
        <v>4.5677720001091204</v>
      </c>
      <c r="K356" s="4">
        <v>4.1626642553538504</v>
      </c>
    </row>
    <row r="357" spans="7:11" x14ac:dyDescent="0.2">
      <c r="G357" t="s">
        <v>35</v>
      </c>
      <c r="H357" s="2">
        <v>350</v>
      </c>
      <c r="I357" s="5">
        <v>56269</v>
      </c>
      <c r="J357" s="4">
        <v>4.56676769093938</v>
      </c>
      <c r="K357" s="4">
        <v>4.1631450823095504</v>
      </c>
    </row>
    <row r="358" spans="7:11" x14ac:dyDescent="0.2">
      <c r="G358" t="s">
        <v>35</v>
      </c>
      <c r="H358" s="2">
        <v>351</v>
      </c>
      <c r="I358" s="5">
        <v>56300</v>
      </c>
      <c r="J358" s="4">
        <v>4.5657001535188702</v>
      </c>
      <c r="K358" s="4">
        <v>4.1624238696350604</v>
      </c>
    </row>
    <row r="359" spans="7:11" x14ac:dyDescent="0.2">
      <c r="G359" t="s">
        <v>35</v>
      </c>
      <c r="H359" s="2">
        <v>352</v>
      </c>
      <c r="I359" s="5">
        <v>56328</v>
      </c>
      <c r="J359" s="4">
        <v>4.5647412417324098</v>
      </c>
      <c r="K359" s="4">
        <v>4.1631450823094696</v>
      </c>
    </row>
    <row r="360" spans="7:11" x14ac:dyDescent="0.2">
      <c r="G360" t="s">
        <v>35</v>
      </c>
      <c r="H360" s="2">
        <v>353</v>
      </c>
      <c r="I360" s="5">
        <v>56359</v>
      </c>
      <c r="J360" s="4">
        <v>4.5636854251363896</v>
      </c>
      <c r="K360" s="4">
        <v>4.1629046595781496</v>
      </c>
    </row>
    <row r="361" spans="7:11" x14ac:dyDescent="0.2">
      <c r="G361" t="s">
        <v>35</v>
      </c>
      <c r="H361" s="2">
        <v>354</v>
      </c>
      <c r="I361" s="5">
        <v>56389</v>
      </c>
      <c r="J361" s="4">
        <v>4.5626694577892897</v>
      </c>
      <c r="K361" s="4">
        <v>4.1636259832995099</v>
      </c>
    </row>
    <row r="362" spans="7:11" x14ac:dyDescent="0.2">
      <c r="G362" t="s">
        <v>35</v>
      </c>
      <c r="H362" s="2">
        <v>355</v>
      </c>
      <c r="I362" s="5">
        <v>56422</v>
      </c>
      <c r="J362" s="4">
        <v>4.5615584149878403</v>
      </c>
      <c r="K362" s="4">
        <v>4.16242386963477</v>
      </c>
    </row>
    <row r="363" spans="7:11" x14ac:dyDescent="0.2">
      <c r="G363" t="s">
        <v>35</v>
      </c>
      <c r="H363" s="2">
        <v>356</v>
      </c>
      <c r="I363" s="5">
        <v>56450</v>
      </c>
      <c r="J363" s="4">
        <v>4.5606210245145098</v>
      </c>
      <c r="K363" s="4">
        <v>4.1631450823095504</v>
      </c>
    </row>
    <row r="364" spans="7:11" x14ac:dyDescent="0.2">
      <c r="G364" t="s">
        <v>35</v>
      </c>
      <c r="H364" s="2">
        <v>357</v>
      </c>
      <c r="I364" s="5">
        <v>56481</v>
      </c>
      <c r="J364" s="4">
        <v>4.5595888399987397</v>
      </c>
      <c r="K364" s="4">
        <v>4.1633855235495396</v>
      </c>
    </row>
    <row r="365" spans="7:11" x14ac:dyDescent="0.2">
      <c r="G365" t="s">
        <v>35</v>
      </c>
      <c r="H365" s="2">
        <v>358</v>
      </c>
      <c r="I365" s="5">
        <v>56513</v>
      </c>
      <c r="J365" s="4">
        <v>4.5585295246025801</v>
      </c>
      <c r="K365" s="4">
        <v>4.1626642553536701</v>
      </c>
    </row>
    <row r="366" spans="7:11" x14ac:dyDescent="0.2">
      <c r="G366" t="s">
        <v>35</v>
      </c>
      <c r="H366" s="2">
        <v>359</v>
      </c>
      <c r="I366" s="5">
        <v>56542</v>
      </c>
      <c r="J366" s="4">
        <v>4.5575748844422401</v>
      </c>
      <c r="K366" s="4">
        <v>4.16314508230972</v>
      </c>
    </row>
    <row r="367" spans="7:11" x14ac:dyDescent="0.2">
      <c r="G367" t="s">
        <v>35</v>
      </c>
      <c r="H367" s="2">
        <v>360</v>
      </c>
      <c r="I367" s="5">
        <v>56573</v>
      </c>
      <c r="J367">
        <v>4.5565600000000197</v>
      </c>
      <c r="K367" s="11">
        <v>4.16314508230972</v>
      </c>
    </row>
  </sheetData>
  <autoFilter ref="B6:E6" xr:uid="{F70D48F5-A57E-4482-AB09-8A29CFCCEED3}">
    <sortState xmlns:xlrd2="http://schemas.microsoft.com/office/spreadsheetml/2017/richdata2" ref="B7:E17">
      <sortCondition ref="B6"/>
    </sortState>
  </autoFilter>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4E77-FAFD-4EDC-BE16-0E2274AD5DF5}">
  <dimension ref="B2:AM57"/>
  <sheetViews>
    <sheetView zoomScaleNormal="100" workbookViewId="0">
      <selection activeCell="K9" sqref="K9"/>
    </sheetView>
  </sheetViews>
  <sheetFormatPr baseColWidth="10" defaultColWidth="8.83203125" defaultRowHeight="19" x14ac:dyDescent="0.25"/>
  <cols>
    <col min="1" max="1" width="8.83203125" style="14"/>
    <col min="2" max="4" width="9.1640625" style="14" bestFit="1" customWidth="1"/>
    <col min="5" max="5" width="10.5" style="14" bestFit="1" customWidth="1"/>
    <col min="6" max="6" width="11.5" style="14" bestFit="1" customWidth="1"/>
    <col min="7" max="7" width="10.6640625" style="14" bestFit="1" customWidth="1"/>
    <col min="8" max="9" width="8.83203125" style="14"/>
    <col min="10" max="12" width="9.1640625" style="14" bestFit="1" customWidth="1"/>
    <col min="13" max="13" width="10.5" style="14" bestFit="1" customWidth="1"/>
    <col min="14" max="14" width="11.5" style="14" bestFit="1" customWidth="1"/>
    <col min="15" max="15" width="12.33203125" style="14" bestFit="1" customWidth="1"/>
    <col min="16" max="16" width="8.83203125" style="14"/>
    <col min="17" max="17" width="10" style="14" bestFit="1" customWidth="1"/>
    <col min="18" max="18" width="11.1640625" style="14" bestFit="1" customWidth="1"/>
    <col min="19" max="22" width="10.33203125" style="14" bestFit="1" customWidth="1"/>
    <col min="23" max="25" width="9.83203125" style="14" bestFit="1" customWidth="1"/>
    <col min="26" max="26" width="9.33203125" style="14" customWidth="1"/>
    <col min="27" max="27" width="9.83203125" style="14" bestFit="1" customWidth="1"/>
    <col min="28" max="28" width="8.83203125" style="14"/>
    <col min="29" max="29" width="9.33203125" style="14" bestFit="1" customWidth="1"/>
    <col min="30" max="35" width="8.83203125" style="14"/>
    <col min="36" max="36" width="9.33203125" style="14" bestFit="1" customWidth="1"/>
    <col min="37" max="16384" width="8.83203125" style="14"/>
  </cols>
  <sheetData>
    <row r="2" spans="2:39" ht="20" thickBot="1" x14ac:dyDescent="0.3">
      <c r="J2" s="15" t="s">
        <v>8</v>
      </c>
      <c r="K2" s="15" t="s">
        <v>6</v>
      </c>
      <c r="L2" s="15" t="s">
        <v>7</v>
      </c>
      <c r="M2" s="16"/>
      <c r="N2" s="15" t="s">
        <v>9</v>
      </c>
      <c r="O2" s="15" t="s">
        <v>10</v>
      </c>
      <c r="Q2" s="17" t="s">
        <v>13</v>
      </c>
      <c r="R2" s="18">
        <f>K3</f>
        <v>4.4400000000000002E-2</v>
      </c>
      <c r="S2" s="18">
        <f>K9</f>
        <v>4.3299999999999998E-2</v>
      </c>
      <c r="T2" s="18">
        <f>K21</f>
        <v>4.2900000000000001E-2</v>
      </c>
      <c r="U2" s="19">
        <f>K33</f>
        <v>4.2500000000000003E-2</v>
      </c>
      <c r="V2" s="18">
        <f>K57</f>
        <v>4.2800000000000005E-2</v>
      </c>
    </row>
    <row r="3" spans="2:39" x14ac:dyDescent="0.25">
      <c r="J3" s="20">
        <v>6</v>
      </c>
      <c r="K3" s="21">
        <f>'Treasury Example (No Math)'!E9/100</f>
        <v>4.4400000000000002E-2</v>
      </c>
      <c r="L3" s="22">
        <f t="shared" ref="L3:L8" si="0">(1+M3)^12 - 1</f>
        <v>4.4877665918662935E-2</v>
      </c>
      <c r="M3" s="23">
        <f>R18</f>
        <v>3.6650175165250359E-3</v>
      </c>
      <c r="N3" s="24">
        <f t="shared" ref="N3" si="1">1/(1+M3)^J3</f>
        <v>0.97828924002120332</v>
      </c>
      <c r="O3" s="24">
        <f t="shared" ref="O3" si="2">LN(N3)</f>
        <v>-2.1949906228730123E-2</v>
      </c>
    </row>
    <row r="4" spans="2:39" x14ac:dyDescent="0.25">
      <c r="J4" s="25">
        <v>7</v>
      </c>
      <c r="K4" s="18"/>
      <c r="L4" s="19">
        <f t="shared" si="0"/>
        <v>4.4551732873682193E-2</v>
      </c>
      <c r="M4" s="26">
        <f>(1/N4)^(1/J4) - 1</f>
        <v>3.6389240014123025E-3</v>
      </c>
      <c r="N4" s="27">
        <f t="shared" ref="N4:N8" si="3">EXP(O4)</f>
        <v>0.97489429041454456</v>
      </c>
      <c r="O4" s="27">
        <f>$O$3+$G$25*(J4-$J$3)</f>
        <v>-2.5426233949819077E-2</v>
      </c>
      <c r="R4" s="28" t="s">
        <v>2</v>
      </c>
      <c r="S4" s="17"/>
      <c r="T4" s="17"/>
      <c r="U4" s="17"/>
      <c r="V4" s="29"/>
      <c r="W4" s="17" t="s">
        <v>3</v>
      </c>
      <c r="X4" s="17"/>
      <c r="Y4" s="17"/>
      <c r="Z4" s="17"/>
    </row>
    <row r="5" spans="2:39" ht="20" thickBot="1" x14ac:dyDescent="0.3">
      <c r="J5" s="25">
        <v>8</v>
      </c>
      <c r="K5" s="18"/>
      <c r="L5" s="19">
        <f t="shared" si="0"/>
        <v>4.4307349812393149E-2</v>
      </c>
      <c r="M5" s="26">
        <f t="shared" ref="M5:M8" si="4">(1/N5)^(1/J5) - 1</f>
        <v>3.6193543102691628E-3</v>
      </c>
      <c r="N5" s="27">
        <f t="shared" si="3"/>
        <v>0.97151112227532932</v>
      </c>
      <c r="O5" s="27">
        <f t="shared" ref="O5:O8" si="5">$O$3+$G$25*(J5-$J$3)</f>
        <v>-2.8902561670908027E-2</v>
      </c>
      <c r="Q5" s="16"/>
      <c r="R5" s="30" t="s">
        <v>39</v>
      </c>
      <c r="S5" s="16" t="s">
        <v>0</v>
      </c>
      <c r="T5" s="16" t="s">
        <v>1</v>
      </c>
      <c r="U5" s="16" t="s">
        <v>37</v>
      </c>
      <c r="V5" s="31" t="s">
        <v>11</v>
      </c>
      <c r="W5" s="16" t="s">
        <v>0</v>
      </c>
      <c r="X5" s="16" t="s">
        <v>0</v>
      </c>
      <c r="Y5" s="16" t="s">
        <v>1</v>
      </c>
      <c r="Z5" s="16" t="s">
        <v>37</v>
      </c>
      <c r="AA5" s="16" t="s">
        <v>11</v>
      </c>
      <c r="AC5" s="59" t="s">
        <v>95</v>
      </c>
    </row>
    <row r="6" spans="2:39" x14ac:dyDescent="0.25">
      <c r="B6" s="32"/>
      <c r="J6" s="25">
        <v>9</v>
      </c>
      <c r="K6" s="18"/>
      <c r="L6" s="19">
        <f t="shared" si="0"/>
        <v>4.4117313627688892E-2</v>
      </c>
      <c r="M6" s="26">
        <f t="shared" si="4"/>
        <v>3.6041337031917919E-3</v>
      </c>
      <c r="N6" s="27">
        <f t="shared" si="3"/>
        <v>0.96813969471842221</v>
      </c>
      <c r="O6" s="27">
        <f t="shared" si="5"/>
        <v>-3.2378889391996984E-2</v>
      </c>
      <c r="Q6" s="25">
        <v>6</v>
      </c>
      <c r="R6" s="33">
        <f>R2/2+1</f>
        <v>1.0222</v>
      </c>
      <c r="S6" s="14">
        <f>S2/2</f>
        <v>2.1649999999999999E-2</v>
      </c>
      <c r="T6" s="34">
        <f>T2/2</f>
        <v>2.145E-2</v>
      </c>
      <c r="U6" s="34">
        <f>U2/2</f>
        <v>2.1250000000000002E-2</v>
      </c>
      <c r="V6" s="35">
        <f>V2/2</f>
        <v>2.1400000000000002E-2</v>
      </c>
      <c r="W6" s="34">
        <f>R6/(1+INDEX($M$3:$M$57, MATCH($Q6,$J$3:$J$57,0)))^$Q6</f>
        <v>1.000007261149674</v>
      </c>
      <c r="X6" s="34">
        <f t="shared" ref="X6:AA8" si="6">S6/(1+INDEX($M$3:$M$57, MATCH($Q6,$J$3:$J$57,0)))^$Q6</f>
        <v>2.1179962046459052E-2</v>
      </c>
      <c r="Y6" s="34">
        <f t="shared" si="6"/>
        <v>2.098430419845481E-2</v>
      </c>
      <c r="Z6" s="34">
        <f t="shared" si="6"/>
        <v>2.0788646350450572E-2</v>
      </c>
      <c r="AA6" s="34">
        <f t="shared" si="6"/>
        <v>2.0935389736453754E-2</v>
      </c>
      <c r="AC6" s="14" t="s">
        <v>94</v>
      </c>
    </row>
    <row r="7" spans="2:39" x14ac:dyDescent="0.25">
      <c r="B7" s="32"/>
      <c r="J7" s="25">
        <v>10</v>
      </c>
      <c r="K7" s="18"/>
      <c r="L7" s="19">
        <f t="shared" si="0"/>
        <v>4.3965309578932965E-2</v>
      </c>
      <c r="M7" s="26">
        <f t="shared" si="4"/>
        <v>3.5919573837286389E-3</v>
      </c>
      <c r="N7" s="27">
        <f t="shared" si="3"/>
        <v>0.96477996700057067</v>
      </c>
      <c r="O7" s="27">
        <f t="shared" si="5"/>
        <v>-3.5855217113085931E-2</v>
      </c>
      <c r="Q7" s="25">
        <f>Q6+6</f>
        <v>12</v>
      </c>
      <c r="R7" s="36"/>
      <c r="S7" s="14">
        <f>S2/2+1</f>
        <v>1.0216499999999999</v>
      </c>
      <c r="T7" s="34">
        <f>T2/2</f>
        <v>2.145E-2</v>
      </c>
      <c r="U7" s="34">
        <f>U2/2</f>
        <v>2.1250000000000002E-2</v>
      </c>
      <c r="V7" s="35">
        <f>V2/2</f>
        <v>2.1400000000000002E-2</v>
      </c>
      <c r="W7" s="34"/>
      <c r="X7" s="34">
        <f>S7/(1+INDEX($M$3:$M$57, MATCH($Q7,$J$3:$J$57,0)))^$Q7</f>
        <v>0.9788382152823456</v>
      </c>
      <c r="Y7" s="58">
        <f t="shared" si="6"/>
        <v>2.0551147377092266E-2</v>
      </c>
      <c r="Z7" s="34">
        <f t="shared" si="6"/>
        <v>2.0359528287329169E-2</v>
      </c>
      <c r="AA7" s="34">
        <f t="shared" si="6"/>
        <v>2.0503242604651493E-2</v>
      </c>
      <c r="AC7" s="14" t="s">
        <v>96</v>
      </c>
    </row>
    <row r="8" spans="2:39" x14ac:dyDescent="0.25">
      <c r="J8" s="25">
        <v>11</v>
      </c>
      <c r="K8" s="18"/>
      <c r="L8" s="19">
        <f t="shared" si="0"/>
        <v>4.3840959089653797E-2</v>
      </c>
      <c r="M8" s="26">
        <f t="shared" si="4"/>
        <v>3.5819950504136777E-3</v>
      </c>
      <c r="N8" s="27">
        <f t="shared" si="3"/>
        <v>0.96143189851991373</v>
      </c>
      <c r="O8" s="27">
        <f t="shared" si="5"/>
        <v>-3.9331544834174885E-2</v>
      </c>
      <c r="Q8" s="25">
        <f t="shared" ref="Q8:Q15" si="7">Q7+6</f>
        <v>18</v>
      </c>
      <c r="R8" s="36"/>
      <c r="T8" s="34">
        <f>T2/2</f>
        <v>2.145E-2</v>
      </c>
      <c r="U8" s="34">
        <f>U2/2</f>
        <v>2.1250000000000002E-2</v>
      </c>
      <c r="V8" s="35">
        <f>V2/2</f>
        <v>2.1400000000000002E-2</v>
      </c>
      <c r="W8" s="34"/>
      <c r="X8" s="34"/>
      <c r="Y8" s="34">
        <f>T8/(1+INDEX($M$3:$M$57, MATCH($Q8,$J$3:$J$57,0)))^$Q8</f>
        <v>2.0124107775902966E-2</v>
      </c>
      <c r="Z8" s="34">
        <f t="shared" si="6"/>
        <v>1.9936470407363079E-2</v>
      </c>
      <c r="AA8" s="34">
        <f t="shared" si="6"/>
        <v>2.0077198433767995E-2</v>
      </c>
    </row>
    <row r="9" spans="2:39" x14ac:dyDescent="0.25">
      <c r="J9" s="20">
        <v>12</v>
      </c>
      <c r="K9" s="21">
        <f>'Treasury Example (No Math)'!E10/100</f>
        <v>4.3299999999999998E-2</v>
      </c>
      <c r="L9" s="22">
        <f t="shared" ref="L9:L21" si="8">(1+M9)^12 - 1</f>
        <v>4.3737344996594096E-2</v>
      </c>
      <c r="M9" s="23">
        <f>S18</f>
        <v>3.5736931815278875E-3</v>
      </c>
      <c r="N9" s="24">
        <f>1/(1+M9)^J9</f>
        <v>0.95809544881549025</v>
      </c>
      <c r="O9" s="24">
        <f>LN(N9)</f>
        <v>-4.2807872555263839E-2</v>
      </c>
      <c r="Q9" s="37">
        <f t="shared" si="7"/>
        <v>24</v>
      </c>
      <c r="T9" s="34">
        <f>T2/2+1</f>
        <v>1.02145</v>
      </c>
      <c r="U9" s="34">
        <f>U2/2</f>
        <v>2.1250000000000002E-2</v>
      </c>
      <c r="V9" s="35">
        <f>V2/2</f>
        <v>2.1400000000000002E-2</v>
      </c>
      <c r="W9" s="34"/>
      <c r="X9" s="34"/>
      <c r="Y9" s="34">
        <f>T9/(1+INDEX($M$3:$M$57, MATCH($Q9,$J$3:$J$57,0)))^$Q9</f>
        <v>0.93839786637364597</v>
      </c>
      <c r="Z9" s="34">
        <f t="shared" ref="Z9" si="9">U9/(1+INDEX($M$3:$M$57, MATCH($Q9,$J$3:$J$57,0)))^$Q9</f>
        <v>1.952220339756227E-2</v>
      </c>
      <c r="AA9" s="34">
        <f t="shared" ref="AA9" si="10">V9/(1+INDEX($M$3:$M$57, MATCH($Q9,$J$3:$J$57,0)))^$Q9</f>
        <v>1.9660007186250945E-2</v>
      </c>
    </row>
    <row r="10" spans="2:39" x14ac:dyDescent="0.25">
      <c r="J10" s="25">
        <f>J9+1</f>
        <v>13</v>
      </c>
      <c r="K10" s="18"/>
      <c r="L10" s="19">
        <f t="shared" si="8"/>
        <v>4.3672209522813477E-2</v>
      </c>
      <c r="M10" s="26">
        <f>(1/N10)^(1/J10) - 1</f>
        <v>3.5684739471677496E-3</v>
      </c>
      <c r="N10" s="27">
        <f t="shared" ref="N10:N20" si="11">EXP(O10)</f>
        <v>0.95474824919918611</v>
      </c>
      <c r="O10" s="27">
        <f t="shared" ref="O10:O20" si="12">$O$9+$G$26*(J10-$J$9)</f>
        <v>-4.6307586657521396E-2</v>
      </c>
      <c r="Q10" s="37">
        <f t="shared" si="7"/>
        <v>30</v>
      </c>
      <c r="U10" s="14">
        <f>U2/2</f>
        <v>2.1250000000000002E-2</v>
      </c>
      <c r="V10" s="35">
        <f>V2/2</f>
        <v>2.1400000000000002E-2</v>
      </c>
      <c r="W10" s="34"/>
      <c r="X10" s="34"/>
      <c r="Y10" s="34"/>
      <c r="Z10" s="34">
        <f>U10/(1+INDEX($M$3:$M$57, MATCH($Q10,$J$3:$J$57,0)))^$Q10</f>
        <v>1.9124431561216647E-2</v>
      </c>
      <c r="AA10" s="34">
        <f>V10/(1+INDEX($M$3:$M$57, MATCH($Q10,$J$3:$J$57,0)))^$Q10</f>
        <v>1.9259427548707589E-2</v>
      </c>
      <c r="AJ10" s="14" t="s">
        <v>92</v>
      </c>
    </row>
    <row r="11" spans="2:39" x14ac:dyDescent="0.25">
      <c r="J11" s="25">
        <f t="shared" ref="J11:J14" si="13">J10+1</f>
        <v>14</v>
      </c>
      <c r="K11" s="18"/>
      <c r="L11" s="19">
        <f t="shared" si="8"/>
        <v>4.3616382352008376E-2</v>
      </c>
      <c r="M11" s="26">
        <f t="shared" ref="M11:M14" si="14">(1/N11)^(1/J11) - 1</f>
        <v>3.5640003393202502E-3</v>
      </c>
      <c r="N11" s="27">
        <f t="shared" si="11"/>
        <v>0.95141274335022541</v>
      </c>
      <c r="O11" s="27">
        <f t="shared" si="12"/>
        <v>-4.9807300759778947E-2</v>
      </c>
      <c r="Q11" s="37">
        <f t="shared" si="7"/>
        <v>36</v>
      </c>
      <c r="U11" s="14">
        <f>U2/2+1</f>
        <v>1.02125</v>
      </c>
      <c r="V11" s="35">
        <f>V2/2</f>
        <v>2.1400000000000002E-2</v>
      </c>
      <c r="W11" s="34"/>
      <c r="X11" s="34"/>
      <c r="Y11" s="34"/>
      <c r="Z11" s="34">
        <f>U11/(1+INDEX($M$3:$M$57, MATCH($Q11,$J$3:$J$57,0)))^$Q11</f>
        <v>0.90037073940794665</v>
      </c>
      <c r="AA11" s="34">
        <f>V11/(1+INDEX($M$3:$M$57, MATCH($Q11,$J$3:$J$57,0)))^$Q11</f>
        <v>1.8867009863725887E-2</v>
      </c>
      <c r="AJ11" s="57" t="s">
        <v>93</v>
      </c>
      <c r="AK11" s="57"/>
      <c r="AL11" s="57"/>
      <c r="AM11" s="57"/>
    </row>
    <row r="12" spans="2:39" x14ac:dyDescent="0.25">
      <c r="J12" s="25">
        <f t="shared" si="13"/>
        <v>15</v>
      </c>
      <c r="K12" s="18"/>
      <c r="L12" s="19">
        <f t="shared" si="8"/>
        <v>4.3568001219536301E-2</v>
      </c>
      <c r="M12" s="26">
        <f t="shared" si="14"/>
        <v>3.5601232286501805E-3</v>
      </c>
      <c r="N12" s="27">
        <f t="shared" si="11"/>
        <v>0.94808889041529509</v>
      </c>
      <c r="O12" s="27">
        <f t="shared" si="12"/>
        <v>-5.3307014862036504E-2</v>
      </c>
      <c r="Q12" s="37">
        <f t="shared" si="7"/>
        <v>42</v>
      </c>
      <c r="V12" s="35">
        <f>V2/2</f>
        <v>2.1400000000000002E-2</v>
      </c>
      <c r="W12" s="34"/>
      <c r="X12" s="34"/>
      <c r="Y12" s="34"/>
      <c r="Z12" s="34"/>
      <c r="AA12" s="34">
        <f t="shared" ref="AA12:AA15" si="15">V12/(1+INDEX($M$3:$M$57, MATCH($Q12,$J$3:$J$57,0)))^$Q12</f>
        <v>1.846826818681311E-2</v>
      </c>
      <c r="AJ12" s="57"/>
      <c r="AK12" s="57"/>
      <c r="AL12" s="57"/>
      <c r="AM12" s="57"/>
    </row>
    <row r="13" spans="2:39" x14ac:dyDescent="0.25">
      <c r="J13" s="25">
        <f t="shared" si="13"/>
        <v>16</v>
      </c>
      <c r="K13" s="18"/>
      <c r="L13" s="19">
        <f t="shared" si="8"/>
        <v>4.3525669568507563E-2</v>
      </c>
      <c r="M13" s="26">
        <f t="shared" si="14"/>
        <v>3.55673076910068E-3</v>
      </c>
      <c r="N13" s="27">
        <f t="shared" si="11"/>
        <v>0.9447766496838067</v>
      </c>
      <c r="O13" s="27">
        <f t="shared" si="12"/>
        <v>-5.6806728964294062E-2</v>
      </c>
      <c r="Q13" s="37">
        <f t="shared" si="7"/>
        <v>48</v>
      </c>
      <c r="V13" s="35">
        <f>V2/2</f>
        <v>2.1400000000000002E-2</v>
      </c>
      <c r="W13" s="34"/>
      <c r="X13" s="34"/>
      <c r="Y13" s="34"/>
      <c r="Z13" s="34"/>
      <c r="AA13" s="34">
        <f t="shared" si="15"/>
        <v>1.807795364944479E-2</v>
      </c>
    </row>
    <row r="14" spans="2:39" x14ac:dyDescent="0.25">
      <c r="J14" s="25">
        <f t="shared" si="13"/>
        <v>17</v>
      </c>
      <c r="K14" s="18"/>
      <c r="L14" s="19">
        <f t="shared" si="8"/>
        <v>4.3488319537733799E-2</v>
      </c>
      <c r="M14" s="26">
        <f t="shared" si="14"/>
        <v>3.5537374319631887E-3</v>
      </c>
      <c r="N14" s="27">
        <f t="shared" si="11"/>
        <v>0.94147598058739834</v>
      </c>
      <c r="O14" s="27">
        <f t="shared" si="12"/>
        <v>-6.030644306655162E-2</v>
      </c>
      <c r="Q14" s="37">
        <f t="shared" si="7"/>
        <v>54</v>
      </c>
      <c r="V14" s="35">
        <f>V2/2</f>
        <v>2.1400000000000002E-2</v>
      </c>
      <c r="W14" s="34"/>
      <c r="X14" s="34"/>
      <c r="Y14" s="34"/>
      <c r="Z14" s="34"/>
      <c r="AA14" s="34">
        <f t="shared" si="15"/>
        <v>1.7695888149644071E-2</v>
      </c>
    </row>
    <row r="15" spans="2:39" x14ac:dyDescent="0.25">
      <c r="J15" s="25">
        <f t="shared" ref="J15:J19" si="16">J14+1</f>
        <v>18</v>
      </c>
      <c r="K15" s="18"/>
      <c r="L15" s="19">
        <f t="shared" si="8"/>
        <v>4.3455120632662547E-2</v>
      </c>
      <c r="M15" s="26">
        <f t="shared" ref="M15:M19" si="17">(1/N15)^(1/J15) - 1</f>
        <v>3.5510766953361639E-3</v>
      </c>
      <c r="N15" s="27">
        <f t="shared" si="11"/>
        <v>0.93818684269943764</v>
      </c>
      <c r="O15" s="27">
        <f t="shared" si="12"/>
        <v>-6.3806157168809177E-2</v>
      </c>
      <c r="Q15" s="37">
        <f t="shared" si="7"/>
        <v>60</v>
      </c>
      <c r="V15" s="35">
        <f>V2/2+1</f>
        <v>1.0214000000000001</v>
      </c>
      <c r="W15" s="34"/>
      <c r="X15" s="34"/>
      <c r="Y15" s="34"/>
      <c r="Z15" s="34"/>
      <c r="AA15" s="34">
        <f t="shared" si="15"/>
        <v>0.82675635293364091</v>
      </c>
    </row>
    <row r="16" spans="2:39" ht="20" thickBot="1" x14ac:dyDescent="0.3">
      <c r="J16" s="25">
        <f>J15+1</f>
        <v>19</v>
      </c>
      <c r="K16" s="18"/>
      <c r="L16" s="19">
        <f t="shared" si="8"/>
        <v>4.3425417244492559E-2</v>
      </c>
      <c r="M16" s="26">
        <f t="shared" si="17"/>
        <v>3.5486960422286273E-3</v>
      </c>
      <c r="N16" s="27">
        <f t="shared" si="11"/>
        <v>0.93490919573452658</v>
      </c>
      <c r="O16" s="27">
        <f t="shared" si="12"/>
        <v>-6.7305871271066728E-2</v>
      </c>
      <c r="Q16" s="38"/>
      <c r="R16" s="16"/>
      <c r="S16" s="16"/>
      <c r="T16" s="16"/>
      <c r="U16" s="16"/>
      <c r="V16" s="16"/>
      <c r="W16" s="16"/>
      <c r="X16" s="16"/>
      <c r="Y16" s="16"/>
      <c r="Z16" s="16"/>
      <c r="AA16" s="16"/>
    </row>
    <row r="17" spans="2:27" x14ac:dyDescent="0.25">
      <c r="B17" s="39"/>
      <c r="J17" s="25">
        <f t="shared" si="16"/>
        <v>20</v>
      </c>
      <c r="K17" s="18"/>
      <c r="L17" s="19">
        <f t="shared" si="8"/>
        <v>4.3398684918080299E-2</v>
      </c>
      <c r="M17" s="26">
        <f t="shared" si="17"/>
        <v>3.5465534592602488E-3</v>
      </c>
      <c r="N17" s="27">
        <f t="shared" si="11"/>
        <v>0.93164299954800811</v>
      </c>
      <c r="O17" s="27">
        <f t="shared" si="12"/>
        <v>-7.0805585373324292E-2</v>
      </c>
      <c r="R17" s="40" t="s">
        <v>40</v>
      </c>
      <c r="S17" s="40" t="s">
        <v>4</v>
      </c>
      <c r="T17" s="40" t="s">
        <v>5</v>
      </c>
      <c r="U17" s="40" t="s">
        <v>38</v>
      </c>
      <c r="V17" s="40" t="s">
        <v>14</v>
      </c>
    </row>
    <row r="18" spans="2:27" x14ac:dyDescent="0.25">
      <c r="B18" s="41" t="s">
        <v>8</v>
      </c>
      <c r="C18" s="41" t="s">
        <v>6</v>
      </c>
      <c r="D18" s="41" t="s">
        <v>7</v>
      </c>
      <c r="E18" s="42"/>
      <c r="F18" s="41" t="s">
        <v>9</v>
      </c>
      <c r="G18" s="41" t="s">
        <v>10</v>
      </c>
      <c r="J18" s="25">
        <f t="shared" si="16"/>
        <v>21</v>
      </c>
      <c r="K18" s="18"/>
      <c r="L18" s="19">
        <f t="shared" si="8"/>
        <v>4.3374499117663889E-2</v>
      </c>
      <c r="M18" s="26">
        <f t="shared" si="17"/>
        <v>3.5446149357545309E-3</v>
      </c>
      <c r="N18" s="27">
        <f t="shared" si="11"/>
        <v>0.92838821413547434</v>
      </c>
      <c r="O18" s="27">
        <f t="shared" si="12"/>
        <v>-7.4305299475581843E-2</v>
      </c>
      <c r="Q18" s="17" t="s">
        <v>12</v>
      </c>
      <c r="R18" s="43">
        <v>3.6650175165250359E-3</v>
      </c>
      <c r="S18" s="43">
        <v>3.5736931815278875E-3</v>
      </c>
      <c r="T18" s="43">
        <v>3.5397686433726256E-3</v>
      </c>
      <c r="U18" s="43">
        <v>3.5054641237267045E-3</v>
      </c>
      <c r="V18" s="43">
        <v>3.5298733501468917E-3</v>
      </c>
      <c r="W18" s="44">
        <f>SUM(W6:W7)-1</f>
        <v>7.2611496739760639E-6</v>
      </c>
      <c r="X18" s="45">
        <f>SUM(X6:X9)-1</f>
        <v>1.8177328804602766E-5</v>
      </c>
      <c r="Y18" s="45">
        <f>SUM(Y6:Y9)-1</f>
        <v>5.7425725096038605E-5</v>
      </c>
      <c r="Z18" s="45">
        <f>SUM(Z6:Z11)-1</f>
        <v>1.0201941186838148E-4</v>
      </c>
      <c r="AA18" s="46">
        <f>SUM(AA6:AA15)-1</f>
        <v>3.0073829310062195E-4</v>
      </c>
    </row>
    <row r="19" spans="2:27" x14ac:dyDescent="0.25">
      <c r="B19" s="25">
        <v>6</v>
      </c>
      <c r="C19" s="18">
        <f>R2</f>
        <v>4.4400000000000002E-2</v>
      </c>
      <c r="D19" s="19">
        <f t="shared" ref="D19:D20" si="18">(1+E19)^12 - 1</f>
        <v>4.4877665918662935E-2</v>
      </c>
      <c r="E19" s="47">
        <f>R18</f>
        <v>3.6650175165250359E-3</v>
      </c>
      <c r="F19" s="48">
        <f>1/(1+E19)^B19</f>
        <v>0.97828924002120332</v>
      </c>
      <c r="G19" s="34">
        <f>LN(F19)</f>
        <v>-2.1949906228730123E-2</v>
      </c>
      <c r="J19" s="25">
        <f t="shared" si="16"/>
        <v>22</v>
      </c>
      <c r="K19" s="18"/>
      <c r="L19" s="19">
        <f t="shared" si="8"/>
        <v>4.3352512512864205E-2</v>
      </c>
      <c r="M19" s="26">
        <f t="shared" si="17"/>
        <v>3.5428526449077236E-3</v>
      </c>
      <c r="N19" s="27">
        <f t="shared" si="11"/>
        <v>0.92514479963227703</v>
      </c>
      <c r="O19" s="27">
        <f t="shared" si="12"/>
        <v>-7.7805013577839394E-2</v>
      </c>
      <c r="W19" s="49" t="s">
        <v>91</v>
      </c>
    </row>
    <row r="20" spans="2:27" x14ac:dyDescent="0.25">
      <c r="B20" s="25">
        <v>12</v>
      </c>
      <c r="C20" s="18">
        <f>S2</f>
        <v>4.3299999999999998E-2</v>
      </c>
      <c r="D20" s="19">
        <f t="shared" si="18"/>
        <v>4.3737344996594096E-2</v>
      </c>
      <c r="E20" s="47">
        <f>S18</f>
        <v>3.5736931815278875E-3</v>
      </c>
      <c r="F20" s="48">
        <f>1/(1+E20)^B20</f>
        <v>0.95809544881549025</v>
      </c>
      <c r="G20" s="34">
        <f>LN(F20)</f>
        <v>-4.2807872555263839E-2</v>
      </c>
      <c r="J20" s="25">
        <f t="shared" ref="J20:J57" si="19">J19+1</f>
        <v>23</v>
      </c>
      <c r="K20" s="18"/>
      <c r="L20" s="19">
        <f t="shared" si="8"/>
        <v>4.3332438191380218E-2</v>
      </c>
      <c r="M20" s="26">
        <f t="shared" ref="M20" si="20">(1/N20)^(1/J20) - 1</f>
        <v>3.5412435994461866E-3</v>
      </c>
      <c r="N20" s="27">
        <f t="shared" si="11"/>
        <v>0.92191271631303839</v>
      </c>
      <c r="O20" s="27">
        <f t="shared" si="12"/>
        <v>-8.1304727680096944E-2</v>
      </c>
      <c r="W20" s="49"/>
    </row>
    <row r="21" spans="2:27" x14ac:dyDescent="0.25">
      <c r="B21" s="25">
        <v>24</v>
      </c>
      <c r="C21" s="19">
        <f>T2</f>
        <v>4.2900000000000001E-2</v>
      </c>
      <c r="D21" s="19">
        <f>(1+E21)^12 - 1</f>
        <v>4.3314037069314359E-2</v>
      </c>
      <c r="E21" s="50">
        <f>T18</f>
        <v>3.5397686433726256E-3</v>
      </c>
      <c r="F21" s="48">
        <f>1/(1+E21)^B21</f>
        <v>0.91869192459116555</v>
      </c>
      <c r="G21" s="34">
        <f>LN(F21)</f>
        <v>-8.4804441782354509E-2</v>
      </c>
      <c r="J21" s="20">
        <f t="shared" si="19"/>
        <v>24</v>
      </c>
      <c r="K21" s="21">
        <f>'Treasury Example (No Math)'!E11/100</f>
        <v>4.2900000000000001E-2</v>
      </c>
      <c r="L21" s="22">
        <f t="shared" si="8"/>
        <v>4.3314037069314359E-2</v>
      </c>
      <c r="M21" s="23">
        <f>T18</f>
        <v>3.5397686433726256E-3</v>
      </c>
      <c r="N21" s="24">
        <f>1/(1+M21)^J21</f>
        <v>0.91869192459116555</v>
      </c>
      <c r="O21" s="24">
        <f>LN(N21)</f>
        <v>-8.4804441782354509E-2</v>
      </c>
    </row>
    <row r="22" spans="2:27" x14ac:dyDescent="0.25">
      <c r="B22" s="25">
        <v>36</v>
      </c>
      <c r="C22" s="19">
        <f>U2</f>
        <v>4.2500000000000003E-2</v>
      </c>
      <c r="D22" s="19">
        <f>(1+E22)^12 - 1</f>
        <v>4.2886147793703921E-2</v>
      </c>
      <c r="E22" s="50">
        <f>U18</f>
        <v>3.5054641237267045E-3</v>
      </c>
      <c r="F22" s="48">
        <f>1/(1+E22)^B22</f>
        <v>0.88163597494046186</v>
      </c>
      <c r="G22" s="34">
        <f>LN(F22)</f>
        <v>-0.12597603499537727</v>
      </c>
      <c r="J22" s="25">
        <f t="shared" si="19"/>
        <v>25</v>
      </c>
      <c r="L22" s="19">
        <f t="shared" ref="L22" si="21">(1+M22)^12 - 1</f>
        <v>4.3262681088084509E-2</v>
      </c>
      <c r="M22" s="26">
        <f t="shared" ref="M22" si="22">(1/N22)^(1/J22) - 1</f>
        <v>3.5356520390978918E-3</v>
      </c>
      <c r="N22" s="27">
        <f t="shared" ref="N22" si="23">EXP(O22)</f>
        <v>0.91554532476590977</v>
      </c>
      <c r="O22" s="27">
        <f>$O$21+$G$27*(J22-$J$21)</f>
        <v>-8.823540788343974E-2</v>
      </c>
      <c r="R22" s="14" t="s">
        <v>45</v>
      </c>
      <c r="S22" s="14" t="s">
        <v>46</v>
      </c>
      <c r="T22" s="14" t="s">
        <v>47</v>
      </c>
      <c r="U22" s="14" t="s">
        <v>48</v>
      </c>
      <c r="V22" s="14" t="s">
        <v>49</v>
      </c>
      <c r="W22" s="14" t="s">
        <v>50</v>
      </c>
    </row>
    <row r="23" spans="2:27" x14ac:dyDescent="0.25">
      <c r="B23" s="25">
        <v>60</v>
      </c>
      <c r="C23" s="18">
        <f>V2</f>
        <v>4.2800000000000005E-2</v>
      </c>
      <c r="D23" s="19">
        <f>(1+E23)^12 - 1</f>
        <v>4.3190593967880053E-2</v>
      </c>
      <c r="E23" s="47">
        <f>V18</f>
        <v>3.5298733501468917E-3</v>
      </c>
      <c r="F23" s="48">
        <f>1/(1+E23)^B23</f>
        <v>0.80943445558414029</v>
      </c>
      <c r="G23" s="34">
        <f>LN(F23)</f>
        <v>-0.21141947815541237</v>
      </c>
      <c r="J23" s="25">
        <f t="shared" si="19"/>
        <v>26</v>
      </c>
      <c r="L23" s="19">
        <f t="shared" ref="L23:L57" si="24">(1+M23)^12 - 1</f>
        <v>4.3215277810690234E-2</v>
      </c>
      <c r="M23" s="26">
        <f t="shared" ref="M23:M56" si="25">(1/N23)^(1/J23) - 1</f>
        <v>3.5318521116787238E-3</v>
      </c>
      <c r="N23" s="27">
        <f t="shared" ref="N23:N56" si="26">EXP(O23)</f>
        <v>0.91240950231900597</v>
      </c>
      <c r="O23" s="27">
        <f t="shared" ref="O23:O32" si="27">$O$21+$G$27*(J23-$J$21)</f>
        <v>-9.1666373984524971E-2</v>
      </c>
      <c r="R23" s="51">
        <v>45615</v>
      </c>
      <c r="S23" s="52">
        <v>4.67</v>
      </c>
      <c r="T23" s="52">
        <v>4.63</v>
      </c>
      <c r="U23" s="52">
        <v>4.62</v>
      </c>
      <c r="V23" s="52">
        <v>4.51</v>
      </c>
      <c r="W23" s="52">
        <v>4.4400000000000004</v>
      </c>
    </row>
    <row r="24" spans="2:27" x14ac:dyDescent="0.25">
      <c r="J24" s="25">
        <f t="shared" si="19"/>
        <v>27</v>
      </c>
      <c r="L24" s="19">
        <f t="shared" si="24"/>
        <v>4.3171387807653616E-2</v>
      </c>
      <c r="M24" s="26">
        <f t="shared" si="25"/>
        <v>3.5283336731939396E-3</v>
      </c>
      <c r="N24" s="27">
        <f t="shared" si="26"/>
        <v>0.90928442033699508</v>
      </c>
      <c r="O24" s="27">
        <f t="shared" si="27"/>
        <v>-9.5097340085610202E-2</v>
      </c>
      <c r="S24" s="14" t="s">
        <v>51</v>
      </c>
      <c r="T24" s="14" t="s">
        <v>52</v>
      </c>
      <c r="U24" s="14" t="s">
        <v>53</v>
      </c>
      <c r="V24" s="14" t="s">
        <v>54</v>
      </c>
      <c r="W24" s="14" t="s">
        <v>55</v>
      </c>
      <c r="X24" s="14" t="s">
        <v>56</v>
      </c>
      <c r="Y24" s="14" t="s">
        <v>57</v>
      </c>
      <c r="Z24" s="14" t="s">
        <v>58</v>
      </c>
    </row>
    <row r="25" spans="2:27" x14ac:dyDescent="0.25">
      <c r="E25" s="14" t="s">
        <v>41</v>
      </c>
      <c r="G25" s="34">
        <f>(G20-G19)/(B20-B19)</f>
        <v>-3.4763277210889524E-3</v>
      </c>
      <c r="J25" s="25">
        <f t="shared" si="19"/>
        <v>28</v>
      </c>
      <c r="L25" s="19">
        <f t="shared" si="24"/>
        <v>4.3130634458234951E-2</v>
      </c>
      <c r="M25" s="26">
        <f t="shared" si="25"/>
        <v>3.5250665627892808E-3</v>
      </c>
      <c r="N25" s="27">
        <f t="shared" si="26"/>
        <v>0.90617004203284979</v>
      </c>
      <c r="O25" s="27">
        <f t="shared" si="27"/>
        <v>-9.8528306186695433E-2</v>
      </c>
      <c r="S25" s="52">
        <v>4.34</v>
      </c>
      <c r="T25" s="52">
        <v>4.2699999999999996</v>
      </c>
      <c r="U25" s="52">
        <v>4.24</v>
      </c>
      <c r="V25" s="52">
        <v>4.25</v>
      </c>
      <c r="W25" s="52">
        <v>4.32</v>
      </c>
      <c r="X25" s="52">
        <v>4.3899999999999997</v>
      </c>
      <c r="Y25" s="52">
        <v>4.66</v>
      </c>
      <c r="Z25" s="52">
        <v>4.57</v>
      </c>
    </row>
    <row r="26" spans="2:27" x14ac:dyDescent="0.25">
      <c r="E26" s="14" t="s">
        <v>15</v>
      </c>
      <c r="G26" s="34">
        <f>(G21-G20)/(B21-B20)</f>
        <v>-3.4997141022575558E-3</v>
      </c>
      <c r="J26" s="25">
        <f t="shared" si="19"/>
        <v>29</v>
      </c>
      <c r="L26" s="19">
        <f t="shared" si="24"/>
        <v>4.3092693115829972E-2</v>
      </c>
      <c r="M26" s="26">
        <f t="shared" si="25"/>
        <v>3.5220247799050419E-3</v>
      </c>
      <c r="N26" s="27">
        <f t="shared" si="26"/>
        <v>0.90306633074554155</v>
      </c>
      <c r="O26" s="27">
        <f t="shared" si="27"/>
        <v>-0.10195927228778065</v>
      </c>
    </row>
    <row r="27" spans="2:27" x14ac:dyDescent="0.25">
      <c r="E27" s="14" t="s">
        <v>43</v>
      </c>
      <c r="G27" s="34">
        <f>(G22-G21)/(B22-B21)</f>
        <v>-3.4309661010852297E-3</v>
      </c>
      <c r="J27" s="25">
        <f t="shared" si="19"/>
        <v>30</v>
      </c>
      <c r="L27" s="19">
        <f t="shared" si="24"/>
        <v>4.3057282441341327E-2</v>
      </c>
      <c r="M27" s="26">
        <f t="shared" si="25"/>
        <v>3.5191857908649649E-3</v>
      </c>
      <c r="N27" s="27">
        <f t="shared" si="26"/>
        <v>0.89997324993960881</v>
      </c>
      <c r="O27" s="27">
        <f t="shared" si="27"/>
        <v>-0.10539023838886588</v>
      </c>
    </row>
    <row r="28" spans="2:27" x14ac:dyDescent="0.25">
      <c r="E28" s="14" t="s">
        <v>42</v>
      </c>
      <c r="G28" s="34">
        <f>(G23-G22)/(B23-B22)</f>
        <v>-3.5601434650014627E-3</v>
      </c>
      <c r="J28" s="25">
        <f t="shared" si="19"/>
        <v>31</v>
      </c>
      <c r="L28" s="19">
        <f t="shared" si="24"/>
        <v>4.3024157414778941E-2</v>
      </c>
      <c r="M28" s="26">
        <f t="shared" si="25"/>
        <v>3.5165299696791052E-3</v>
      </c>
      <c r="N28" s="27">
        <f t="shared" si="26"/>
        <v>0.89689076320472738</v>
      </c>
      <c r="O28" s="27">
        <f t="shared" si="27"/>
        <v>-0.10882120448995111</v>
      </c>
    </row>
    <row r="29" spans="2:27" x14ac:dyDescent="0.25">
      <c r="J29" s="25">
        <f t="shared" si="19"/>
        <v>32</v>
      </c>
      <c r="L29" s="19">
        <f t="shared" si="24"/>
        <v>4.2993103657783083E-2</v>
      </c>
      <c r="M29" s="26">
        <f t="shared" si="25"/>
        <v>3.5140401437008251E-3</v>
      </c>
      <c r="N29" s="27">
        <f t="shared" si="26"/>
        <v>0.89381883425528175</v>
      </c>
      <c r="O29" s="27">
        <f t="shared" si="27"/>
        <v>-0.11225217059103634</v>
      </c>
    </row>
    <row r="30" spans="2:27" x14ac:dyDescent="0.25">
      <c r="J30" s="25">
        <f t="shared" si="19"/>
        <v>33</v>
      </c>
      <c r="L30" s="19">
        <f t="shared" si="24"/>
        <v>4.2963932788870896E-2</v>
      </c>
      <c r="M30" s="26">
        <f t="shared" si="25"/>
        <v>3.5117012218939259E-3</v>
      </c>
      <c r="N30" s="27">
        <f t="shared" si="26"/>
        <v>0.89075742692993753</v>
      </c>
      <c r="O30" s="27">
        <f t="shared" si="27"/>
        <v>-0.11568313669212157</v>
      </c>
    </row>
    <row r="31" spans="2:27" x14ac:dyDescent="0.25">
      <c r="J31" s="25">
        <f t="shared" si="19"/>
        <v>34</v>
      </c>
      <c r="L31" s="19">
        <f t="shared" si="24"/>
        <v>4.2936478598708527E-2</v>
      </c>
      <c r="M31" s="26">
        <f t="shared" si="25"/>
        <v>3.5094998887024165E-3</v>
      </c>
      <c r="N31" s="27">
        <f t="shared" si="26"/>
        <v>0.88770650519121597</v>
      </c>
      <c r="O31" s="27">
        <f t="shared" si="27"/>
        <v>-0.11911410279320681</v>
      </c>
    </row>
    <row r="32" spans="2:27" x14ac:dyDescent="0.25">
      <c r="J32" s="25">
        <f t="shared" si="19"/>
        <v>35</v>
      </c>
      <c r="L32" s="19">
        <f t="shared" si="24"/>
        <v>4.2910593881334558E-2</v>
      </c>
      <c r="M32" s="26">
        <f t="shared" si="25"/>
        <v>3.5074243504020775E-3</v>
      </c>
      <c r="N32" s="27">
        <f t="shared" si="26"/>
        <v>0.88466603312507031</v>
      </c>
      <c r="O32" s="27">
        <f t="shared" si="27"/>
        <v>-0.12254506889429204</v>
      </c>
    </row>
    <row r="33" spans="10:15" x14ac:dyDescent="0.25">
      <c r="J33" s="20">
        <f t="shared" si="19"/>
        <v>36</v>
      </c>
      <c r="K33" s="21">
        <f>'Treasury Example (No Math)'!E12/100</f>
        <v>4.2500000000000003E-2</v>
      </c>
      <c r="L33" s="22">
        <f t="shared" si="24"/>
        <v>4.2886147793703921E-2</v>
      </c>
      <c r="M33" s="23">
        <f>U18</f>
        <v>3.5054641237267045E-3</v>
      </c>
      <c r="N33" s="24">
        <f>1/(1+M33)^J33</f>
        <v>0.88163597494046186</v>
      </c>
      <c r="O33" s="24">
        <f>LN(N33)</f>
        <v>-0.12597603499537727</v>
      </c>
    </row>
    <row r="34" spans="10:15" x14ac:dyDescent="0.25">
      <c r="J34" s="25">
        <f t="shared" si="19"/>
        <v>37</v>
      </c>
      <c r="L34" s="19">
        <f t="shared" si="24"/>
        <v>4.2906715681984897E-2</v>
      </c>
      <c r="M34" s="26">
        <f t="shared" si="25"/>
        <v>3.5071133770792073E-3</v>
      </c>
      <c r="N34" s="27">
        <f t="shared" si="26"/>
        <v>0.87850280496238975</v>
      </c>
      <c r="O34" s="27">
        <f t="shared" ref="O34:O56" si="28">$O$33+$G$28*(J34-$J$33)</f>
        <v>-0.12953617846037874</v>
      </c>
    </row>
    <row r="35" spans="10:15" x14ac:dyDescent="0.25">
      <c r="J35" s="25">
        <f t="shared" si="19"/>
        <v>38</v>
      </c>
      <c r="L35" s="19">
        <f t="shared" si="24"/>
        <v>4.2926201424010602E-2</v>
      </c>
      <c r="M35" s="26">
        <f t="shared" si="25"/>
        <v>3.5086758301241527E-3</v>
      </c>
      <c r="N35" s="27">
        <f t="shared" si="26"/>
        <v>0.87538076968661027</v>
      </c>
      <c r="O35" s="27">
        <f t="shared" si="28"/>
        <v>-0.13309632192538018</v>
      </c>
    </row>
    <row r="36" spans="10:15" x14ac:dyDescent="0.25">
      <c r="J36" s="25">
        <f t="shared" si="19"/>
        <v>39</v>
      </c>
      <c r="L36" s="19">
        <f t="shared" si="24"/>
        <v>4.2944688233759409E-2</v>
      </c>
      <c r="M36" s="26">
        <f t="shared" si="25"/>
        <v>3.5101581596206355E-3</v>
      </c>
      <c r="N36" s="27">
        <f t="shared" si="26"/>
        <v>0.87226982954246635</v>
      </c>
      <c r="O36" s="27">
        <f t="shared" si="28"/>
        <v>-0.13665646539038165</v>
      </c>
    </row>
    <row r="37" spans="10:15" x14ac:dyDescent="0.25">
      <c r="J37" s="25">
        <f t="shared" si="19"/>
        <v>40</v>
      </c>
      <c r="L37" s="19">
        <f t="shared" si="24"/>
        <v>4.2962251006549046E-2</v>
      </c>
      <c r="M37" s="26">
        <f t="shared" si="25"/>
        <v>3.5115663746705383E-3</v>
      </c>
      <c r="N37" s="27">
        <f t="shared" si="26"/>
        <v>0.86916994509992751</v>
      </c>
      <c r="O37" s="27">
        <f t="shared" si="28"/>
        <v>-0.14021660885538312</v>
      </c>
    </row>
    <row r="38" spans="10:15" x14ac:dyDescent="0.25">
      <c r="J38" s="25">
        <f t="shared" si="19"/>
        <v>41</v>
      </c>
      <c r="L38" s="19">
        <f t="shared" si="24"/>
        <v>4.2978957333175805E-2</v>
      </c>
      <c r="M38" s="26">
        <f t="shared" si="25"/>
        <v>3.5129058981371308E-3</v>
      </c>
      <c r="N38" s="27">
        <f t="shared" si="26"/>
        <v>0.8660810770690901</v>
      </c>
      <c r="O38" s="27">
        <f t="shared" si="28"/>
        <v>-0.14377675232038459</v>
      </c>
    </row>
    <row r="39" spans="10:15" x14ac:dyDescent="0.25">
      <c r="J39" s="25">
        <f t="shared" si="19"/>
        <v>42</v>
      </c>
      <c r="L39" s="19">
        <f t="shared" si="24"/>
        <v>4.2994868369233163E-2</v>
      </c>
      <c r="M39" s="26">
        <f t="shared" si="25"/>
        <v>3.5141816364343548E-3</v>
      </c>
      <c r="N39" s="27">
        <f t="shared" si="26"/>
        <v>0.86300318629967987</v>
      </c>
      <c r="O39" s="27">
        <f t="shared" si="28"/>
        <v>-0.14733689578538606</v>
      </c>
    </row>
    <row r="40" spans="10:15" x14ac:dyDescent="0.25">
      <c r="J40" s="25">
        <f t="shared" si="19"/>
        <v>43</v>
      </c>
      <c r="L40" s="19">
        <f t="shared" si="24"/>
        <v>4.3010039583157411E-2</v>
      </c>
      <c r="M40" s="26">
        <f t="shared" si="25"/>
        <v>3.5153980395770112E-3</v>
      </c>
      <c r="N40" s="27">
        <f t="shared" si="26"/>
        <v>0.85993623378055506</v>
      </c>
      <c r="O40" s="27">
        <f t="shared" si="28"/>
        <v>-0.1508970392503875</v>
      </c>
    </row>
    <row r="41" spans="10:15" x14ac:dyDescent="0.25">
      <c r="J41" s="25">
        <f t="shared" si="19"/>
        <v>44</v>
      </c>
      <c r="L41" s="19">
        <f t="shared" si="24"/>
        <v>4.3024521402308391E-2</v>
      </c>
      <c r="M41" s="26">
        <f t="shared" si="25"/>
        <v>3.5165591530430529E-3</v>
      </c>
      <c r="N41" s="27">
        <f t="shared" si="26"/>
        <v>0.85688018063921223</v>
      </c>
      <c r="O41" s="27">
        <f t="shared" si="28"/>
        <v>-0.15445718271538897</v>
      </c>
    </row>
    <row r="42" spans="10:15" x14ac:dyDescent="0.25">
      <c r="J42" s="25">
        <f t="shared" si="19"/>
        <v>45</v>
      </c>
      <c r="L42" s="19">
        <f t="shared" si="24"/>
        <v>4.303835977292203E-2</v>
      </c>
      <c r="M42" s="26">
        <f t="shared" si="25"/>
        <v>3.5176686627216291E-3</v>
      </c>
      <c r="N42" s="27">
        <f t="shared" si="26"/>
        <v>0.85383498814129366</v>
      </c>
      <c r="O42" s="27">
        <f t="shared" si="28"/>
        <v>-0.15801732618039044</v>
      </c>
    </row>
    <row r="43" spans="10:15" x14ac:dyDescent="0.25">
      <c r="J43" s="25">
        <f t="shared" si="19"/>
        <v>46</v>
      </c>
      <c r="L43" s="19">
        <f t="shared" si="24"/>
        <v>4.3051596647048607E-2</v>
      </c>
      <c r="M43" s="26">
        <f t="shared" si="25"/>
        <v>3.5187299339967115E-3</v>
      </c>
      <c r="N43" s="27">
        <f t="shared" si="26"/>
        <v>0.85080061769009629</v>
      </c>
      <c r="O43" s="27">
        <f t="shared" si="28"/>
        <v>-0.16157746964539188</v>
      </c>
    </row>
    <row r="44" spans="10:15" x14ac:dyDescent="0.25">
      <c r="J44" s="25">
        <f t="shared" si="19"/>
        <v>47</v>
      </c>
      <c r="L44" s="19">
        <f t="shared" si="24"/>
        <v>4.3064270407348726E-2</v>
      </c>
      <c r="M44" s="26">
        <f t="shared" si="25"/>
        <v>3.519746045843597E-3</v>
      </c>
      <c r="N44" s="27">
        <f t="shared" si="26"/>
        <v>0.84777703082608269</v>
      </c>
      <c r="O44" s="27">
        <f t="shared" si="28"/>
        <v>-0.16513761311039335</v>
      </c>
    </row>
    <row r="45" spans="10:15" x14ac:dyDescent="0.25">
      <c r="J45" s="25">
        <f t="shared" si="19"/>
        <v>48</v>
      </c>
      <c r="L45" s="19">
        <f t="shared" si="24"/>
        <v>4.3076416238809978E-2</v>
      </c>
      <c r="M45" s="26">
        <f t="shared" si="25"/>
        <v>3.5207198206625989E-3</v>
      </c>
      <c r="N45" s="27">
        <f t="shared" si="26"/>
        <v>0.84476418922639318</v>
      </c>
      <c r="O45" s="27">
        <f t="shared" si="28"/>
        <v>-0.16869775657539482</v>
      </c>
    </row>
    <row r="46" spans="10:15" x14ac:dyDescent="0.25">
      <c r="J46" s="25">
        <f t="shared" si="19"/>
        <v>49</v>
      </c>
      <c r="L46" s="19">
        <f t="shared" si="24"/>
        <v>4.3088066454936902E-2</v>
      </c>
      <c r="M46" s="26">
        <f t="shared" si="25"/>
        <v>3.5216538504583283E-3</v>
      </c>
      <c r="N46" s="27">
        <f t="shared" si="26"/>
        <v>0.84176205470436072</v>
      </c>
      <c r="O46" s="27">
        <f t="shared" si="28"/>
        <v>-0.17225790004039629</v>
      </c>
    </row>
    <row r="47" spans="10:15" x14ac:dyDescent="0.25">
      <c r="J47" s="25">
        <f t="shared" si="19"/>
        <v>50</v>
      </c>
      <c r="L47" s="19">
        <f t="shared" si="24"/>
        <v>4.3099250784833565E-2</v>
      </c>
      <c r="M47" s="26">
        <f t="shared" si="25"/>
        <v>3.5225505198799301E-3</v>
      </c>
      <c r="N47" s="27">
        <f t="shared" si="26"/>
        <v>0.83877058920902614</v>
      </c>
      <c r="O47" s="27">
        <f t="shared" si="28"/>
        <v>-0.17581804350539776</v>
      </c>
    </row>
    <row r="48" spans="10:15" x14ac:dyDescent="0.25">
      <c r="J48" s="25">
        <f t="shared" si="19"/>
        <v>51</v>
      </c>
      <c r="L48" s="19">
        <f t="shared" si="24"/>
        <v>4.3109996626521818E-2</v>
      </c>
      <c r="M48" s="26">
        <f t="shared" si="25"/>
        <v>3.5234120265497104E-3</v>
      </c>
      <c r="N48" s="27">
        <f t="shared" si="26"/>
        <v>0.83578975482465667</v>
      </c>
      <c r="O48" s="27">
        <f t="shared" si="28"/>
        <v>-0.1793781869703992</v>
      </c>
    </row>
    <row r="49" spans="10:15" x14ac:dyDescent="0.25">
      <c r="J49" s="25">
        <f t="shared" si="19"/>
        <v>52</v>
      </c>
      <c r="L49" s="19">
        <f t="shared" si="24"/>
        <v>4.3120329271002511E-2</v>
      </c>
      <c r="M49" s="26">
        <f t="shared" si="25"/>
        <v>3.5242403990449755E-3</v>
      </c>
      <c r="N49" s="27">
        <f t="shared" si="26"/>
        <v>0.83281951377026497</v>
      </c>
      <c r="O49" s="27">
        <f t="shared" si="28"/>
        <v>-0.18293833043540067</v>
      </c>
    </row>
    <row r="50" spans="10:15" x14ac:dyDescent="0.25">
      <c r="J50" s="25">
        <f t="shared" si="19"/>
        <v>53</v>
      </c>
      <c r="L50" s="19">
        <f t="shared" si="24"/>
        <v>4.3130272101002509E-2</v>
      </c>
      <c r="M50" s="26">
        <f t="shared" si="25"/>
        <v>3.5250375128463851E-3</v>
      </c>
      <c r="N50" s="27">
        <f t="shared" si="26"/>
        <v>0.82985982839912997</v>
      </c>
      <c r="O50" s="27">
        <f t="shared" si="28"/>
        <v>-0.18649847390040214</v>
      </c>
    </row>
    <row r="51" spans="10:15" x14ac:dyDescent="0.25">
      <c r="J51" s="25">
        <f t="shared" si="19"/>
        <v>54</v>
      </c>
      <c r="L51" s="19">
        <f t="shared" si="24"/>
        <v>4.3139846767611623E-2</v>
      </c>
      <c r="M51" s="26">
        <f t="shared" si="25"/>
        <v>3.5258051045128358E-3</v>
      </c>
      <c r="N51" s="27">
        <f t="shared" si="26"/>
        <v>0.82691066119832035</v>
      </c>
      <c r="O51" s="27">
        <f t="shared" si="28"/>
        <v>-0.19005861736540358</v>
      </c>
    </row>
    <row r="52" spans="10:15" x14ac:dyDescent="0.25">
      <c r="J52" s="25">
        <f t="shared" si="19"/>
        <v>55</v>
      </c>
      <c r="L52" s="19">
        <f t="shared" si="24"/>
        <v>4.3149073347673816E-2</v>
      </c>
      <c r="M52" s="26">
        <f t="shared" si="25"/>
        <v>3.5265447843104702E-3</v>
      </c>
      <c r="N52" s="27">
        <f t="shared" si="26"/>
        <v>0.8239719747882186</v>
      </c>
      <c r="O52" s="27">
        <f t="shared" si="28"/>
        <v>-0.19361876083040505</v>
      </c>
    </row>
    <row r="53" spans="10:15" x14ac:dyDescent="0.25">
      <c r="J53" s="25">
        <f t="shared" si="19"/>
        <v>56</v>
      </c>
      <c r="L53" s="19">
        <f t="shared" si="24"/>
        <v>4.315797048431147E-2</v>
      </c>
      <c r="M53" s="26">
        <f t="shared" si="25"/>
        <v>3.5272580474889903E-3</v>
      </c>
      <c r="N53" s="27">
        <f t="shared" si="26"/>
        <v>0.82104373192204738</v>
      </c>
      <c r="O53" s="27">
        <f t="shared" si="28"/>
        <v>-0.19717890429540652</v>
      </c>
    </row>
    <row r="54" spans="10:15" x14ac:dyDescent="0.25">
      <c r="J54" s="25">
        <f t="shared" si="19"/>
        <v>57</v>
      </c>
      <c r="L54" s="19">
        <f t="shared" si="24"/>
        <v>4.3166555512650806E-2</v>
      </c>
      <c r="M54" s="26">
        <f t="shared" si="25"/>
        <v>3.5279462843698095E-3</v>
      </c>
      <c r="N54" s="27">
        <f t="shared" si="26"/>
        <v>0.81812589548539771</v>
      </c>
      <c r="O54" s="27">
        <f t="shared" si="28"/>
        <v>-0.20073904776040799</v>
      </c>
    </row>
    <row r="55" spans="10:15" x14ac:dyDescent="0.25">
      <c r="J55" s="25">
        <f t="shared" si="19"/>
        <v>58</v>
      </c>
      <c r="L55" s="19">
        <f t="shared" si="24"/>
        <v>4.3174844572571258E-2</v>
      </c>
      <c r="M55" s="26">
        <f t="shared" si="25"/>
        <v>3.5286107893921503E-3</v>
      </c>
      <c r="N55" s="27">
        <f t="shared" si="26"/>
        <v>0.81521842849575799</v>
      </c>
      <c r="O55" s="27">
        <f t="shared" si="28"/>
        <v>-0.20429919122540946</v>
      </c>
    </row>
    <row r="56" spans="10:15" x14ac:dyDescent="0.25">
      <c r="J56" s="25">
        <f t="shared" si="19"/>
        <v>59</v>
      </c>
      <c r="L56" s="19">
        <f t="shared" si="24"/>
        <v>4.3182852709964026E-2</v>
      </c>
      <c r="M56" s="26">
        <f t="shared" si="25"/>
        <v>3.5292527692385445E-3</v>
      </c>
      <c r="N56" s="27">
        <f t="shared" si="26"/>
        <v>0.81232129410204568</v>
      </c>
      <c r="O56" s="27">
        <f t="shared" si="28"/>
        <v>-0.2078593346904109</v>
      </c>
    </row>
    <row r="57" spans="10:15" x14ac:dyDescent="0.25">
      <c r="J57" s="20">
        <f t="shared" si="19"/>
        <v>60</v>
      </c>
      <c r="K57" s="21">
        <f>'Treasury Example (No Math)'!E13/100</f>
        <v>4.2800000000000005E-2</v>
      </c>
      <c r="L57" s="22">
        <f t="shared" si="24"/>
        <v>4.3190593967880053E-2</v>
      </c>
      <c r="M57" s="23">
        <f>V18</f>
        <v>3.5298733501468917E-3</v>
      </c>
      <c r="N57" s="24">
        <f>1/(1+M57)^J57</f>
        <v>0.80943445558414029</v>
      </c>
      <c r="O57" s="24">
        <f>$O$33+$G$28*(J57-$J$33)</f>
        <v>-0.21141947815541237</v>
      </c>
    </row>
  </sheetData>
  <mergeCells count="1">
    <mergeCell ref="AJ11:AM12"/>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D7A37-AA23-EF48-9752-D16865174975}">
  <dimension ref="A1:G11"/>
  <sheetViews>
    <sheetView zoomScale="160" zoomScaleNormal="160" workbookViewId="0">
      <selection activeCell="D12" sqref="D12"/>
    </sheetView>
  </sheetViews>
  <sheetFormatPr baseColWidth="10" defaultRowHeight="15" x14ac:dyDescent="0.2"/>
  <cols>
    <col min="6" max="6" width="64.33203125" bestFit="1" customWidth="1"/>
  </cols>
  <sheetData>
    <row r="1" spans="1:7" x14ac:dyDescent="0.2">
      <c r="A1" t="s">
        <v>59</v>
      </c>
      <c r="B1" t="s">
        <v>59</v>
      </c>
    </row>
    <row r="2" spans="1:7" x14ac:dyDescent="0.2">
      <c r="A2" t="s">
        <v>73</v>
      </c>
      <c r="B2" t="s">
        <v>74</v>
      </c>
    </row>
    <row r="3" spans="1:7" x14ac:dyDescent="0.2">
      <c r="A3" t="s">
        <v>75</v>
      </c>
      <c r="B3" t="s">
        <v>76</v>
      </c>
    </row>
    <row r="4" spans="1:7" x14ac:dyDescent="0.2">
      <c r="E4" t="s">
        <v>68</v>
      </c>
      <c r="F4" t="s">
        <v>60</v>
      </c>
      <c r="G4" t="s">
        <v>70</v>
      </c>
    </row>
    <row r="5" spans="1:7" x14ac:dyDescent="0.2">
      <c r="E5" t="str">
        <f>INDEX(A2:B3,2,2)</f>
        <v>Pears</v>
      </c>
      <c r="F5" t="s">
        <v>77</v>
      </c>
      <c r="G5" t="s">
        <v>76</v>
      </c>
    </row>
    <row r="6" spans="1:7" x14ac:dyDescent="0.2">
      <c r="E6" t="str">
        <f>INDEX(A2:B3,2,1)</f>
        <v>Bananas</v>
      </c>
      <c r="F6" t="s">
        <v>78</v>
      </c>
      <c r="G6" t="s">
        <v>75</v>
      </c>
    </row>
    <row r="9" spans="1:7" x14ac:dyDescent="0.2">
      <c r="D9" t="e">
        <f>MATCH("Lemons",A2:B3,1)</f>
        <v>#N/A</v>
      </c>
    </row>
    <row r="10" spans="1:7" x14ac:dyDescent="0.2">
      <c r="D10">
        <f>MATCH("Bananas",A2:A3)</f>
        <v>2</v>
      </c>
    </row>
    <row r="11" spans="1:7" x14ac:dyDescent="0.2">
      <c r="D11" t="e">
        <f>MATCH("Pears",A2:B3)</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E2F5-0447-2844-961B-35BFBA78A491}">
  <dimension ref="A1:F10"/>
  <sheetViews>
    <sheetView zoomScaleNormal="100" workbookViewId="0">
      <selection activeCell="F3" sqref="F3"/>
    </sheetView>
  </sheetViews>
  <sheetFormatPr baseColWidth="10" defaultRowHeight="19" x14ac:dyDescent="0.25"/>
  <cols>
    <col min="1" max="1" width="12.33203125" style="14" bestFit="1" customWidth="1"/>
    <col min="2" max="2" width="36.5" style="14" customWidth="1"/>
    <col min="3" max="3" width="11" style="14" bestFit="1" customWidth="1"/>
    <col min="4" max="4" width="10.83203125" style="14"/>
    <col min="5" max="6" width="11" style="14" bestFit="1" customWidth="1"/>
    <col min="7" max="16384" width="10.83203125" style="14"/>
  </cols>
  <sheetData>
    <row r="1" spans="1:6" x14ac:dyDescent="0.25">
      <c r="A1" s="14" t="s">
        <v>59</v>
      </c>
      <c r="B1" s="14" t="s">
        <v>60</v>
      </c>
    </row>
    <row r="2" spans="1:6" x14ac:dyDescent="0.25">
      <c r="A2" s="53">
        <v>39493</v>
      </c>
      <c r="B2" s="14" t="s">
        <v>61</v>
      </c>
    </row>
    <row r="3" spans="1:6" x14ac:dyDescent="0.25">
      <c r="A3" s="53">
        <v>42689</v>
      </c>
      <c r="B3" s="14" t="s">
        <v>62</v>
      </c>
      <c r="C3" s="14">
        <f>_xlfn.DAYS("15-NOV-2016", "15-FEB-2008")</f>
        <v>3196</v>
      </c>
      <c r="E3" s="54">
        <v>39493</v>
      </c>
      <c r="F3" s="14" t="e" cm="1">
        <f t="array" ref="F3">D</f>
        <v>#NAME?</v>
      </c>
    </row>
    <row r="4" spans="1:6" x14ac:dyDescent="0.25">
      <c r="A4" s="55">
        <v>5.7500000000000002E-2</v>
      </c>
      <c r="B4" s="14" t="s">
        <v>63</v>
      </c>
      <c r="E4" s="14" t="e">
        <f>DATEVALUE(A3)</f>
        <v>#VALUE!</v>
      </c>
    </row>
    <row r="5" spans="1:6" x14ac:dyDescent="0.25">
      <c r="A5" s="14">
        <v>95.042869999999994</v>
      </c>
      <c r="B5" s="14" t="s">
        <v>64</v>
      </c>
    </row>
    <row r="6" spans="1:6" x14ac:dyDescent="0.25">
      <c r="A6" s="56" t="s">
        <v>72</v>
      </c>
      <c r="B6" s="14" t="s">
        <v>65</v>
      </c>
    </row>
    <row r="7" spans="1:6" x14ac:dyDescent="0.25">
      <c r="A7" s="14">
        <v>2</v>
      </c>
      <c r="B7" s="14" t="s">
        <v>66</v>
      </c>
    </row>
    <row r="8" spans="1:6" x14ac:dyDescent="0.25">
      <c r="A8" s="14">
        <v>0</v>
      </c>
      <c r="B8" s="14" t="s">
        <v>67</v>
      </c>
    </row>
    <row r="9" spans="1:6" x14ac:dyDescent="0.25">
      <c r="A9" s="14" t="s">
        <v>68</v>
      </c>
      <c r="B9" s="14" t="s">
        <v>69</v>
      </c>
      <c r="C9" s="14" t="s">
        <v>70</v>
      </c>
    </row>
    <row r="10" spans="1:6" x14ac:dyDescent="0.25">
      <c r="A10" s="14" t="e">
        <f>YIELD(A2,A3,A4,A5,A6,A7,A8)</f>
        <v>#VALUE!</v>
      </c>
      <c r="B10" s="14" t="s">
        <v>71</v>
      </c>
      <c r="C10" s="55">
        <v>6.5000000000000002E-2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4437-0B69-764B-B55F-359364F504DD}">
  <dimension ref="A1:K154"/>
  <sheetViews>
    <sheetView workbookViewId="0">
      <selection activeCell="E43" sqref="E43"/>
    </sheetView>
  </sheetViews>
  <sheetFormatPr baseColWidth="10" defaultColWidth="8.83203125" defaultRowHeight="15" x14ac:dyDescent="0.2"/>
  <cols>
    <col min="1" max="11" width="14.5" customWidth="1"/>
  </cols>
  <sheetData>
    <row r="1" spans="1:11" x14ac:dyDescent="0.2">
      <c r="A1" s="1" t="s">
        <v>88</v>
      </c>
      <c r="E1" s="1"/>
    </row>
    <row r="2" spans="1:11" x14ac:dyDescent="0.2">
      <c r="A2" t="s">
        <v>87</v>
      </c>
      <c r="B2" t="s">
        <v>86</v>
      </c>
      <c r="C2" t="s">
        <v>85</v>
      </c>
      <c r="D2" t="s">
        <v>84</v>
      </c>
      <c r="E2" t="s">
        <v>83</v>
      </c>
      <c r="G2" s="13" t="s">
        <v>89</v>
      </c>
      <c r="H2" s="13"/>
    </row>
    <row r="3" spans="1:11" x14ac:dyDescent="0.2">
      <c r="A3">
        <v>5.0999999999999996</v>
      </c>
      <c r="B3">
        <v>3.5</v>
      </c>
      <c r="C3">
        <v>1.4</v>
      </c>
      <c r="D3">
        <v>0.2</v>
      </c>
      <c r="E3" t="s">
        <v>82</v>
      </c>
      <c r="G3" t="e" cm="1" vm="1">
        <f t="array" ref="G3">_xlfn._xlws.PY(0,1,IrisDataSet2[#All])</f>
        <v>#VALUE!</v>
      </c>
    </row>
    <row r="4" spans="1:11" x14ac:dyDescent="0.2">
      <c r="A4">
        <v>4.9000000000000004</v>
      </c>
      <c r="B4">
        <v>3</v>
      </c>
      <c r="C4">
        <v>1.4</v>
      </c>
      <c r="D4">
        <v>0.2</v>
      </c>
      <c r="E4" t="s">
        <v>82</v>
      </c>
    </row>
    <row r="5" spans="1:11" x14ac:dyDescent="0.2">
      <c r="A5">
        <v>4.7</v>
      </c>
      <c r="B5">
        <v>3.2</v>
      </c>
      <c r="C5">
        <v>1.3</v>
      </c>
      <c r="D5">
        <v>0.2</v>
      </c>
      <c r="E5" t="s">
        <v>82</v>
      </c>
      <c r="G5" s="13" t="s">
        <v>90</v>
      </c>
      <c r="H5" s="13"/>
    </row>
    <row r="6" spans="1:11" x14ac:dyDescent="0.2">
      <c r="A6">
        <v>4.5999999999999996</v>
      </c>
      <c r="B6">
        <v>3.1</v>
      </c>
      <c r="C6">
        <v>1.5</v>
      </c>
      <c r="D6">
        <v>0.2</v>
      </c>
      <c r="E6" t="s">
        <v>82</v>
      </c>
      <c r="G6" t="str" cm="1">
        <f t="array" ref="G6:K14">_xlfn._xlws.PY(1,0)</f>
        <v/>
      </c>
      <c r="H6" t="str">
        <v>sepal_length</v>
      </c>
      <c r="I6" t="str">
        <v>sepal_width</v>
      </c>
      <c r="J6" t="str">
        <v>petal_length</v>
      </c>
      <c r="K6" t="str">
        <v>petal_width</v>
      </c>
    </row>
    <row r="7" spans="1:11" x14ac:dyDescent="0.2">
      <c r="A7">
        <v>5</v>
      </c>
      <c r="B7">
        <v>3.6</v>
      </c>
      <c r="C7">
        <v>1.4</v>
      </c>
      <c r="D7">
        <v>0.2</v>
      </c>
      <c r="E7" t="s">
        <v>82</v>
      </c>
      <c r="G7" t="str">
        <v>count</v>
      </c>
      <c r="H7">
        <v>150</v>
      </c>
      <c r="I7">
        <v>150</v>
      </c>
      <c r="J7">
        <v>150</v>
      </c>
      <c r="K7">
        <v>150</v>
      </c>
    </row>
    <row r="8" spans="1:11" x14ac:dyDescent="0.2">
      <c r="A8">
        <v>5.4</v>
      </c>
      <c r="B8">
        <v>3.9</v>
      </c>
      <c r="C8">
        <v>1.7</v>
      </c>
      <c r="D8">
        <v>0.4</v>
      </c>
      <c r="E8" t="s">
        <v>82</v>
      </c>
      <c r="G8" t="str">
        <v>mean</v>
      </c>
      <c r="H8">
        <v>5.8433333333333337</v>
      </c>
      <c r="I8">
        <v>3.0540000000000003</v>
      </c>
      <c r="J8">
        <v>3.7586666666666662</v>
      </c>
      <c r="K8">
        <v>1.1986666666666668</v>
      </c>
    </row>
    <row r="9" spans="1:11" x14ac:dyDescent="0.2">
      <c r="A9">
        <v>4.5999999999999996</v>
      </c>
      <c r="B9">
        <v>3.4</v>
      </c>
      <c r="C9">
        <v>1.4</v>
      </c>
      <c r="D9">
        <v>0.3</v>
      </c>
      <c r="E9" t="s">
        <v>82</v>
      </c>
      <c r="G9" t="str">
        <v>std</v>
      </c>
      <c r="H9">
        <v>0.82806612797786294</v>
      </c>
      <c r="I9">
        <v>0.43359431136217369</v>
      </c>
      <c r="J9">
        <v>1.7644204199522617</v>
      </c>
      <c r="K9">
        <v>0.76316074170084136</v>
      </c>
    </row>
    <row r="10" spans="1:11" x14ac:dyDescent="0.2">
      <c r="A10">
        <v>5</v>
      </c>
      <c r="B10">
        <v>3.4</v>
      </c>
      <c r="C10">
        <v>1.5</v>
      </c>
      <c r="D10">
        <v>0.2</v>
      </c>
      <c r="E10" t="s">
        <v>82</v>
      </c>
      <c r="G10" t="str">
        <v>min</v>
      </c>
      <c r="H10">
        <v>4.3</v>
      </c>
      <c r="I10">
        <v>2</v>
      </c>
      <c r="J10">
        <v>1</v>
      </c>
      <c r="K10">
        <v>0.1</v>
      </c>
    </row>
    <row r="11" spans="1:11" x14ac:dyDescent="0.2">
      <c r="A11">
        <v>4.4000000000000004</v>
      </c>
      <c r="B11">
        <v>2.9</v>
      </c>
      <c r="C11">
        <v>1.4</v>
      </c>
      <c r="D11">
        <v>0.2</v>
      </c>
      <c r="E11" t="s">
        <v>82</v>
      </c>
      <c r="G11" t="str">
        <v>25%</v>
      </c>
      <c r="H11">
        <v>5.0999999999999996</v>
      </c>
      <c r="I11">
        <v>2.8</v>
      </c>
      <c r="J11">
        <v>1.6</v>
      </c>
      <c r="K11">
        <v>0.3</v>
      </c>
    </row>
    <row r="12" spans="1:11" x14ac:dyDescent="0.2">
      <c r="A12">
        <v>4.9000000000000004</v>
      </c>
      <c r="B12">
        <v>3.1</v>
      </c>
      <c r="C12">
        <v>1.5</v>
      </c>
      <c r="D12">
        <v>0.1</v>
      </c>
      <c r="E12" t="s">
        <v>82</v>
      </c>
      <c r="G12" t="str">
        <v>50%</v>
      </c>
      <c r="H12">
        <v>5.8</v>
      </c>
      <c r="I12">
        <v>3</v>
      </c>
      <c r="J12">
        <v>4.3499999999999996</v>
      </c>
      <c r="K12">
        <v>1.3</v>
      </c>
    </row>
    <row r="13" spans="1:11" x14ac:dyDescent="0.2">
      <c r="A13">
        <v>5.4</v>
      </c>
      <c r="B13">
        <v>3.7</v>
      </c>
      <c r="C13">
        <v>1.5</v>
      </c>
      <c r="D13">
        <v>0.2</v>
      </c>
      <c r="E13" t="s">
        <v>82</v>
      </c>
      <c r="G13" t="str">
        <v>75%</v>
      </c>
      <c r="H13">
        <v>6.4</v>
      </c>
      <c r="I13">
        <v>3.3</v>
      </c>
      <c r="J13">
        <v>5.0999999999999996</v>
      </c>
      <c r="K13">
        <v>1.8</v>
      </c>
    </row>
    <row r="14" spans="1:11" x14ac:dyDescent="0.2">
      <c r="A14">
        <v>4.8</v>
      </c>
      <c r="B14">
        <v>3.4</v>
      </c>
      <c r="C14">
        <v>1.6</v>
      </c>
      <c r="D14">
        <v>0.2</v>
      </c>
      <c r="E14" t="s">
        <v>82</v>
      </c>
      <c r="G14" t="str">
        <v>max</v>
      </c>
      <c r="H14">
        <v>7.9</v>
      </c>
      <c r="I14">
        <v>4.4000000000000004</v>
      </c>
      <c r="J14">
        <v>6.9</v>
      </c>
      <c r="K14">
        <v>2.5</v>
      </c>
    </row>
    <row r="15" spans="1:11" x14ac:dyDescent="0.2">
      <c r="A15">
        <v>4.8</v>
      </c>
      <c r="B15">
        <v>3</v>
      </c>
      <c r="C15">
        <v>1.4</v>
      </c>
      <c r="D15">
        <v>0.1</v>
      </c>
      <c r="E15" t="s">
        <v>82</v>
      </c>
    </row>
    <row r="16" spans="1:11" x14ac:dyDescent="0.2">
      <c r="A16">
        <v>4.3</v>
      </c>
      <c r="B16">
        <v>3</v>
      </c>
      <c r="C16">
        <v>1.1000000000000001</v>
      </c>
      <c r="D16">
        <v>0.1</v>
      </c>
      <c r="E16" t="s">
        <v>82</v>
      </c>
    </row>
    <row r="17" spans="1:5" x14ac:dyDescent="0.2">
      <c r="A17">
        <v>5.8</v>
      </c>
      <c r="B17">
        <v>4</v>
      </c>
      <c r="C17">
        <v>1.2</v>
      </c>
      <c r="D17">
        <v>0.2</v>
      </c>
      <c r="E17" t="s">
        <v>82</v>
      </c>
    </row>
    <row r="18" spans="1:5" x14ac:dyDescent="0.2">
      <c r="A18">
        <v>5.7</v>
      </c>
      <c r="B18">
        <v>4.4000000000000004</v>
      </c>
      <c r="C18">
        <v>1.5</v>
      </c>
      <c r="D18">
        <v>0.4</v>
      </c>
      <c r="E18" t="s">
        <v>82</v>
      </c>
    </row>
    <row r="19" spans="1:5" x14ac:dyDescent="0.2">
      <c r="A19">
        <v>5.4</v>
      </c>
      <c r="B19">
        <v>3.9</v>
      </c>
      <c r="C19">
        <v>1.3</v>
      </c>
      <c r="D19">
        <v>0.4</v>
      </c>
      <c r="E19" t="s">
        <v>82</v>
      </c>
    </row>
    <row r="20" spans="1:5" x14ac:dyDescent="0.2">
      <c r="A20">
        <v>5.0999999999999996</v>
      </c>
      <c r="B20">
        <v>3.5</v>
      </c>
      <c r="C20">
        <v>1.4</v>
      </c>
      <c r="D20">
        <v>0.3</v>
      </c>
      <c r="E20" t="s">
        <v>82</v>
      </c>
    </row>
    <row r="21" spans="1:5" x14ac:dyDescent="0.2">
      <c r="A21">
        <v>5.7</v>
      </c>
      <c r="B21">
        <v>3.8</v>
      </c>
      <c r="C21">
        <v>1.7</v>
      </c>
      <c r="D21">
        <v>0.3</v>
      </c>
      <c r="E21" t="s">
        <v>82</v>
      </c>
    </row>
    <row r="22" spans="1:5" x14ac:dyDescent="0.2">
      <c r="A22">
        <v>5.0999999999999996</v>
      </c>
      <c r="B22">
        <v>3.8</v>
      </c>
      <c r="C22">
        <v>1.5</v>
      </c>
      <c r="D22">
        <v>0.3</v>
      </c>
      <c r="E22" t="s">
        <v>82</v>
      </c>
    </row>
    <row r="23" spans="1:5" x14ac:dyDescent="0.2">
      <c r="A23">
        <v>5.4</v>
      </c>
      <c r="B23">
        <v>3.4</v>
      </c>
      <c r="C23">
        <v>1.7</v>
      </c>
      <c r="D23">
        <v>0.2</v>
      </c>
      <c r="E23" t="s">
        <v>82</v>
      </c>
    </row>
    <row r="24" spans="1:5" x14ac:dyDescent="0.2">
      <c r="A24">
        <v>5.0999999999999996</v>
      </c>
      <c r="B24">
        <v>3.7</v>
      </c>
      <c r="C24">
        <v>1.5</v>
      </c>
      <c r="D24">
        <v>0.4</v>
      </c>
      <c r="E24" t="s">
        <v>82</v>
      </c>
    </row>
    <row r="25" spans="1:5" x14ac:dyDescent="0.2">
      <c r="A25">
        <v>4.5999999999999996</v>
      </c>
      <c r="B25">
        <v>3.6</v>
      </c>
      <c r="C25">
        <v>1</v>
      </c>
      <c r="D25">
        <v>0.2</v>
      </c>
      <c r="E25" t="s">
        <v>82</v>
      </c>
    </row>
    <row r="26" spans="1:5" x14ac:dyDescent="0.2">
      <c r="A26">
        <v>5.0999999999999996</v>
      </c>
      <c r="B26">
        <v>3.3</v>
      </c>
      <c r="C26">
        <v>1.7</v>
      </c>
      <c r="D26">
        <v>0.5</v>
      </c>
      <c r="E26" t="s">
        <v>82</v>
      </c>
    </row>
    <row r="27" spans="1:5" x14ac:dyDescent="0.2">
      <c r="A27">
        <v>4.8</v>
      </c>
      <c r="B27">
        <v>3.4</v>
      </c>
      <c r="C27">
        <v>1.9</v>
      </c>
      <c r="D27">
        <v>0.2</v>
      </c>
      <c r="E27" t="s">
        <v>82</v>
      </c>
    </row>
    <row r="28" spans="1:5" x14ac:dyDescent="0.2">
      <c r="A28">
        <v>5</v>
      </c>
      <c r="B28">
        <v>3</v>
      </c>
      <c r="C28">
        <v>1.6</v>
      </c>
      <c r="D28">
        <v>0.2</v>
      </c>
      <c r="E28" t="s">
        <v>82</v>
      </c>
    </row>
    <row r="29" spans="1:5" x14ac:dyDescent="0.2">
      <c r="A29">
        <v>5</v>
      </c>
      <c r="B29">
        <v>3.4</v>
      </c>
      <c r="C29">
        <v>1.6</v>
      </c>
      <c r="D29">
        <v>0.4</v>
      </c>
      <c r="E29" t="s">
        <v>82</v>
      </c>
    </row>
    <row r="30" spans="1:5" x14ac:dyDescent="0.2">
      <c r="A30">
        <v>5.2</v>
      </c>
      <c r="B30">
        <v>3.5</v>
      </c>
      <c r="C30">
        <v>1.5</v>
      </c>
      <c r="D30">
        <v>0.2</v>
      </c>
      <c r="E30" t="s">
        <v>82</v>
      </c>
    </row>
    <row r="31" spans="1:5" x14ac:dyDescent="0.2">
      <c r="A31">
        <v>5.2</v>
      </c>
      <c r="B31">
        <v>3.4</v>
      </c>
      <c r="C31">
        <v>1.4</v>
      </c>
      <c r="D31">
        <v>0.2</v>
      </c>
      <c r="E31" t="s">
        <v>82</v>
      </c>
    </row>
    <row r="32" spans="1:5" x14ac:dyDescent="0.2">
      <c r="A32">
        <v>4.7</v>
      </c>
      <c r="B32">
        <v>3.2</v>
      </c>
      <c r="C32">
        <v>1.6</v>
      </c>
      <c r="D32">
        <v>0.2</v>
      </c>
      <c r="E32" t="s">
        <v>82</v>
      </c>
    </row>
    <row r="33" spans="1:5" x14ac:dyDescent="0.2">
      <c r="A33">
        <v>4.8</v>
      </c>
      <c r="B33">
        <v>3.1</v>
      </c>
      <c r="C33">
        <v>1.6</v>
      </c>
      <c r="D33">
        <v>0.2</v>
      </c>
      <c r="E33" t="s">
        <v>82</v>
      </c>
    </row>
    <row r="34" spans="1:5" x14ac:dyDescent="0.2">
      <c r="A34">
        <v>5.4</v>
      </c>
      <c r="B34">
        <v>3.4</v>
      </c>
      <c r="C34">
        <v>1.5</v>
      </c>
      <c r="D34">
        <v>0.4</v>
      </c>
      <c r="E34" t="s">
        <v>82</v>
      </c>
    </row>
    <row r="35" spans="1:5" x14ac:dyDescent="0.2">
      <c r="A35">
        <v>5.2</v>
      </c>
      <c r="B35">
        <v>4.0999999999999996</v>
      </c>
      <c r="C35">
        <v>1.5</v>
      </c>
      <c r="D35">
        <v>0.1</v>
      </c>
      <c r="E35" t="s">
        <v>82</v>
      </c>
    </row>
    <row r="36" spans="1:5" x14ac:dyDescent="0.2">
      <c r="A36">
        <v>5.5</v>
      </c>
      <c r="B36">
        <v>4.2</v>
      </c>
      <c r="C36">
        <v>1.4</v>
      </c>
      <c r="D36">
        <v>0.2</v>
      </c>
      <c r="E36" t="s">
        <v>82</v>
      </c>
    </row>
    <row r="37" spans="1:5" x14ac:dyDescent="0.2">
      <c r="A37">
        <v>4.9000000000000004</v>
      </c>
      <c r="B37">
        <v>3.1</v>
      </c>
      <c r="C37">
        <v>1.5</v>
      </c>
      <c r="D37">
        <v>0.1</v>
      </c>
      <c r="E37" t="s">
        <v>82</v>
      </c>
    </row>
    <row r="38" spans="1:5" x14ac:dyDescent="0.2">
      <c r="A38">
        <v>5</v>
      </c>
      <c r="B38">
        <v>3.2</v>
      </c>
      <c r="C38">
        <v>1.2</v>
      </c>
      <c r="D38">
        <v>0.2</v>
      </c>
      <c r="E38" t="s">
        <v>82</v>
      </c>
    </row>
    <row r="39" spans="1:5" x14ac:dyDescent="0.2">
      <c r="A39">
        <v>5.5</v>
      </c>
      <c r="B39">
        <v>3.5</v>
      </c>
      <c r="C39">
        <v>1.3</v>
      </c>
      <c r="D39">
        <v>0.2</v>
      </c>
      <c r="E39" t="s">
        <v>82</v>
      </c>
    </row>
    <row r="40" spans="1:5" x14ac:dyDescent="0.2">
      <c r="A40">
        <v>4.9000000000000004</v>
      </c>
      <c r="B40">
        <v>3.1</v>
      </c>
      <c r="C40">
        <v>1.5</v>
      </c>
      <c r="D40">
        <v>0.1</v>
      </c>
      <c r="E40" t="s">
        <v>82</v>
      </c>
    </row>
    <row r="41" spans="1:5" x14ac:dyDescent="0.2">
      <c r="A41">
        <v>4.4000000000000004</v>
      </c>
      <c r="B41">
        <v>3</v>
      </c>
      <c r="C41">
        <v>1.3</v>
      </c>
      <c r="D41">
        <v>0.2</v>
      </c>
      <c r="E41" t="s">
        <v>82</v>
      </c>
    </row>
    <row r="42" spans="1:5" x14ac:dyDescent="0.2">
      <c r="A42">
        <v>5.0999999999999996</v>
      </c>
      <c r="B42">
        <v>3.4</v>
      </c>
      <c r="C42">
        <v>1.5</v>
      </c>
      <c r="D42">
        <v>0.2</v>
      </c>
      <c r="E42" t="s">
        <v>82</v>
      </c>
    </row>
    <row r="43" spans="1:5" x14ac:dyDescent="0.2">
      <c r="A43">
        <v>5</v>
      </c>
      <c r="B43">
        <v>3.5</v>
      </c>
      <c r="C43">
        <v>1.3</v>
      </c>
      <c r="D43">
        <v>0.3</v>
      </c>
      <c r="E43" t="s">
        <v>82</v>
      </c>
    </row>
    <row r="44" spans="1:5" x14ac:dyDescent="0.2">
      <c r="A44">
        <v>4.5</v>
      </c>
      <c r="B44">
        <v>2.2999999999999998</v>
      </c>
      <c r="C44">
        <v>1.3</v>
      </c>
      <c r="D44">
        <v>0.3</v>
      </c>
      <c r="E44" t="s">
        <v>82</v>
      </c>
    </row>
    <row r="45" spans="1:5" x14ac:dyDescent="0.2">
      <c r="A45">
        <v>4.4000000000000004</v>
      </c>
      <c r="B45">
        <v>3.2</v>
      </c>
      <c r="C45">
        <v>1.3</v>
      </c>
      <c r="D45">
        <v>0.2</v>
      </c>
      <c r="E45" t="s">
        <v>82</v>
      </c>
    </row>
    <row r="46" spans="1:5" x14ac:dyDescent="0.2">
      <c r="A46">
        <v>5</v>
      </c>
      <c r="B46">
        <v>3.5</v>
      </c>
      <c r="C46">
        <v>1.6</v>
      </c>
      <c r="D46">
        <v>0.6</v>
      </c>
      <c r="E46" t="s">
        <v>82</v>
      </c>
    </row>
    <row r="47" spans="1:5" x14ac:dyDescent="0.2">
      <c r="A47">
        <v>5.0999999999999996</v>
      </c>
      <c r="B47">
        <v>3.8</v>
      </c>
      <c r="C47">
        <v>1.9</v>
      </c>
      <c r="D47">
        <v>0.4</v>
      </c>
      <c r="E47" t="s">
        <v>82</v>
      </c>
    </row>
    <row r="48" spans="1:5" x14ac:dyDescent="0.2">
      <c r="A48">
        <v>4.8</v>
      </c>
      <c r="B48">
        <v>3</v>
      </c>
      <c r="C48">
        <v>1.4</v>
      </c>
      <c r="D48">
        <v>0.3</v>
      </c>
      <c r="E48" t="s">
        <v>82</v>
      </c>
    </row>
    <row r="49" spans="1:5" x14ac:dyDescent="0.2">
      <c r="A49">
        <v>5.0999999999999996</v>
      </c>
      <c r="B49">
        <v>3.8</v>
      </c>
      <c r="C49">
        <v>1.6</v>
      </c>
      <c r="D49">
        <v>0.2</v>
      </c>
      <c r="E49" t="s">
        <v>82</v>
      </c>
    </row>
    <row r="50" spans="1:5" x14ac:dyDescent="0.2">
      <c r="A50">
        <v>4.5999999999999996</v>
      </c>
      <c r="B50">
        <v>3.2</v>
      </c>
      <c r="C50">
        <v>1.4</v>
      </c>
      <c r="D50">
        <v>0.2</v>
      </c>
      <c r="E50" t="s">
        <v>82</v>
      </c>
    </row>
    <row r="51" spans="1:5" x14ac:dyDescent="0.2">
      <c r="A51">
        <v>5.3</v>
      </c>
      <c r="B51">
        <v>3.7</v>
      </c>
      <c r="C51">
        <v>1.5</v>
      </c>
      <c r="D51">
        <v>0.2</v>
      </c>
      <c r="E51" t="s">
        <v>82</v>
      </c>
    </row>
    <row r="52" spans="1:5" x14ac:dyDescent="0.2">
      <c r="A52">
        <v>5</v>
      </c>
      <c r="B52">
        <v>3.3</v>
      </c>
      <c r="C52">
        <v>1.4</v>
      </c>
      <c r="D52">
        <v>0.2</v>
      </c>
      <c r="E52" t="s">
        <v>82</v>
      </c>
    </row>
    <row r="53" spans="1:5" x14ac:dyDescent="0.2">
      <c r="A53">
        <v>7</v>
      </c>
      <c r="B53">
        <v>3.2</v>
      </c>
      <c r="C53">
        <v>4.7</v>
      </c>
      <c r="D53">
        <v>1.4</v>
      </c>
      <c r="E53" t="s">
        <v>81</v>
      </c>
    </row>
    <row r="54" spans="1:5" x14ac:dyDescent="0.2">
      <c r="A54">
        <v>6.4</v>
      </c>
      <c r="B54">
        <v>3.2</v>
      </c>
      <c r="C54">
        <v>4.5</v>
      </c>
      <c r="D54">
        <v>1.5</v>
      </c>
      <c r="E54" t="s">
        <v>81</v>
      </c>
    </row>
    <row r="55" spans="1:5" x14ac:dyDescent="0.2">
      <c r="A55">
        <v>6.9</v>
      </c>
      <c r="B55">
        <v>3.1</v>
      </c>
      <c r="C55">
        <v>4.9000000000000004</v>
      </c>
      <c r="D55">
        <v>1.5</v>
      </c>
      <c r="E55" t="s">
        <v>81</v>
      </c>
    </row>
    <row r="56" spans="1:5" x14ac:dyDescent="0.2">
      <c r="A56">
        <v>5.5</v>
      </c>
      <c r="B56">
        <v>2.2999999999999998</v>
      </c>
      <c r="C56">
        <v>4</v>
      </c>
      <c r="D56">
        <v>1.3</v>
      </c>
      <c r="E56" t="s">
        <v>81</v>
      </c>
    </row>
    <row r="57" spans="1:5" x14ac:dyDescent="0.2">
      <c r="A57">
        <v>6.5</v>
      </c>
      <c r="B57">
        <v>2.8</v>
      </c>
      <c r="C57">
        <v>4.5999999999999996</v>
      </c>
      <c r="D57">
        <v>1.5</v>
      </c>
      <c r="E57" t="s">
        <v>81</v>
      </c>
    </row>
    <row r="58" spans="1:5" x14ac:dyDescent="0.2">
      <c r="A58">
        <v>5.7</v>
      </c>
      <c r="B58">
        <v>2.8</v>
      </c>
      <c r="C58">
        <v>4.5</v>
      </c>
      <c r="D58">
        <v>1.3</v>
      </c>
      <c r="E58" t="s">
        <v>81</v>
      </c>
    </row>
    <row r="59" spans="1:5" x14ac:dyDescent="0.2">
      <c r="A59">
        <v>6.3</v>
      </c>
      <c r="B59">
        <v>3.3</v>
      </c>
      <c r="C59">
        <v>4.7</v>
      </c>
      <c r="D59">
        <v>1.6</v>
      </c>
      <c r="E59" t="s">
        <v>81</v>
      </c>
    </row>
    <row r="60" spans="1:5" x14ac:dyDescent="0.2">
      <c r="A60">
        <v>4.9000000000000004</v>
      </c>
      <c r="B60">
        <v>2.4</v>
      </c>
      <c r="C60">
        <v>3.3</v>
      </c>
      <c r="D60">
        <v>1</v>
      </c>
      <c r="E60" t="s">
        <v>81</v>
      </c>
    </row>
    <row r="61" spans="1:5" x14ac:dyDescent="0.2">
      <c r="A61">
        <v>6.6</v>
      </c>
      <c r="B61">
        <v>2.9</v>
      </c>
      <c r="C61">
        <v>4.5999999999999996</v>
      </c>
      <c r="D61">
        <v>1.3</v>
      </c>
      <c r="E61" t="s">
        <v>81</v>
      </c>
    </row>
    <row r="62" spans="1:5" x14ac:dyDescent="0.2">
      <c r="A62">
        <v>5.2</v>
      </c>
      <c r="B62">
        <v>2.7</v>
      </c>
      <c r="C62">
        <v>3.9</v>
      </c>
      <c r="D62">
        <v>1.4</v>
      </c>
      <c r="E62" t="s">
        <v>81</v>
      </c>
    </row>
    <row r="63" spans="1:5" x14ac:dyDescent="0.2">
      <c r="A63">
        <v>5</v>
      </c>
      <c r="B63">
        <v>2</v>
      </c>
      <c r="C63">
        <v>3.5</v>
      </c>
      <c r="D63">
        <v>1</v>
      </c>
      <c r="E63" t="s">
        <v>81</v>
      </c>
    </row>
    <row r="64" spans="1:5" x14ac:dyDescent="0.2">
      <c r="A64">
        <v>5.9</v>
      </c>
      <c r="B64">
        <v>3</v>
      </c>
      <c r="C64">
        <v>4.2</v>
      </c>
      <c r="D64">
        <v>1.5</v>
      </c>
      <c r="E64" t="s">
        <v>81</v>
      </c>
    </row>
    <row r="65" spans="1:5" x14ac:dyDescent="0.2">
      <c r="A65">
        <v>6</v>
      </c>
      <c r="B65">
        <v>2.2000000000000002</v>
      </c>
      <c r="C65">
        <v>4</v>
      </c>
      <c r="D65">
        <v>1</v>
      </c>
      <c r="E65" t="s">
        <v>81</v>
      </c>
    </row>
    <row r="66" spans="1:5" x14ac:dyDescent="0.2">
      <c r="A66">
        <v>6.1</v>
      </c>
      <c r="B66">
        <v>2.9</v>
      </c>
      <c r="C66">
        <v>4.7</v>
      </c>
      <c r="D66">
        <v>1.4</v>
      </c>
      <c r="E66" t="s">
        <v>81</v>
      </c>
    </row>
    <row r="67" spans="1:5" x14ac:dyDescent="0.2">
      <c r="A67">
        <v>5.6</v>
      </c>
      <c r="B67">
        <v>2.9</v>
      </c>
      <c r="C67">
        <v>3.6</v>
      </c>
      <c r="D67">
        <v>1.3</v>
      </c>
      <c r="E67" t="s">
        <v>81</v>
      </c>
    </row>
    <row r="68" spans="1:5" x14ac:dyDescent="0.2">
      <c r="A68">
        <v>6.7</v>
      </c>
      <c r="B68">
        <v>3.1</v>
      </c>
      <c r="C68">
        <v>4.4000000000000004</v>
      </c>
      <c r="D68">
        <v>1.4</v>
      </c>
      <c r="E68" t="s">
        <v>81</v>
      </c>
    </row>
    <row r="69" spans="1:5" x14ac:dyDescent="0.2">
      <c r="A69">
        <v>5.6</v>
      </c>
      <c r="B69">
        <v>3</v>
      </c>
      <c r="C69">
        <v>4.5</v>
      </c>
      <c r="D69">
        <v>1.5</v>
      </c>
      <c r="E69" t="s">
        <v>81</v>
      </c>
    </row>
    <row r="70" spans="1:5" x14ac:dyDescent="0.2">
      <c r="A70">
        <v>5.8</v>
      </c>
      <c r="B70">
        <v>2.7</v>
      </c>
      <c r="C70">
        <v>4.0999999999999996</v>
      </c>
      <c r="D70">
        <v>1</v>
      </c>
      <c r="E70" t="s">
        <v>81</v>
      </c>
    </row>
    <row r="71" spans="1:5" x14ac:dyDescent="0.2">
      <c r="A71">
        <v>6.2</v>
      </c>
      <c r="B71">
        <v>2.2000000000000002</v>
      </c>
      <c r="C71">
        <v>4.5</v>
      </c>
      <c r="D71">
        <v>1.5</v>
      </c>
      <c r="E71" t="s">
        <v>81</v>
      </c>
    </row>
    <row r="72" spans="1:5" x14ac:dyDescent="0.2">
      <c r="A72">
        <v>5.6</v>
      </c>
      <c r="B72">
        <v>2.5</v>
      </c>
      <c r="C72">
        <v>3.9</v>
      </c>
      <c r="D72">
        <v>1.1000000000000001</v>
      </c>
      <c r="E72" t="s">
        <v>81</v>
      </c>
    </row>
    <row r="73" spans="1:5" x14ac:dyDescent="0.2">
      <c r="A73">
        <v>5.9</v>
      </c>
      <c r="B73">
        <v>3.2</v>
      </c>
      <c r="C73">
        <v>4.8</v>
      </c>
      <c r="D73">
        <v>1.8</v>
      </c>
      <c r="E73" t="s">
        <v>81</v>
      </c>
    </row>
    <row r="74" spans="1:5" x14ac:dyDescent="0.2">
      <c r="A74">
        <v>6.1</v>
      </c>
      <c r="B74">
        <v>2.8</v>
      </c>
      <c r="C74">
        <v>4</v>
      </c>
      <c r="D74">
        <v>1.3</v>
      </c>
      <c r="E74" t="s">
        <v>81</v>
      </c>
    </row>
    <row r="75" spans="1:5" x14ac:dyDescent="0.2">
      <c r="A75">
        <v>6.3</v>
      </c>
      <c r="B75">
        <v>2.5</v>
      </c>
      <c r="C75">
        <v>4.9000000000000004</v>
      </c>
      <c r="D75">
        <v>1.5</v>
      </c>
      <c r="E75" t="s">
        <v>81</v>
      </c>
    </row>
    <row r="76" spans="1:5" x14ac:dyDescent="0.2">
      <c r="A76">
        <v>6.1</v>
      </c>
      <c r="B76">
        <v>2.8</v>
      </c>
      <c r="C76">
        <v>4.7</v>
      </c>
      <c r="D76">
        <v>1.2</v>
      </c>
      <c r="E76" t="s">
        <v>81</v>
      </c>
    </row>
    <row r="77" spans="1:5" x14ac:dyDescent="0.2">
      <c r="A77">
        <v>6.4</v>
      </c>
      <c r="B77">
        <v>2.9</v>
      </c>
      <c r="C77">
        <v>4.3</v>
      </c>
      <c r="D77">
        <v>1.3</v>
      </c>
      <c r="E77" t="s">
        <v>81</v>
      </c>
    </row>
    <row r="78" spans="1:5" x14ac:dyDescent="0.2">
      <c r="A78">
        <v>6.6</v>
      </c>
      <c r="B78">
        <v>3</v>
      </c>
      <c r="C78">
        <v>4.4000000000000004</v>
      </c>
      <c r="D78">
        <v>1.4</v>
      </c>
      <c r="E78" t="s">
        <v>81</v>
      </c>
    </row>
    <row r="79" spans="1:5" x14ac:dyDescent="0.2">
      <c r="A79">
        <v>6.8</v>
      </c>
      <c r="B79">
        <v>2.8</v>
      </c>
      <c r="C79">
        <v>4.8</v>
      </c>
      <c r="D79">
        <v>1.4</v>
      </c>
      <c r="E79" t="s">
        <v>81</v>
      </c>
    </row>
    <row r="80" spans="1:5" x14ac:dyDescent="0.2">
      <c r="A80">
        <v>6.7</v>
      </c>
      <c r="B80">
        <v>3</v>
      </c>
      <c r="C80">
        <v>5</v>
      </c>
      <c r="D80">
        <v>1.7</v>
      </c>
      <c r="E80" t="s">
        <v>81</v>
      </c>
    </row>
    <row r="81" spans="1:5" x14ac:dyDescent="0.2">
      <c r="A81">
        <v>6</v>
      </c>
      <c r="B81">
        <v>2.9</v>
      </c>
      <c r="C81">
        <v>4.5</v>
      </c>
      <c r="D81">
        <v>1.5</v>
      </c>
      <c r="E81" t="s">
        <v>81</v>
      </c>
    </row>
    <row r="82" spans="1:5" x14ac:dyDescent="0.2">
      <c r="A82">
        <v>5.7</v>
      </c>
      <c r="B82">
        <v>2.6</v>
      </c>
      <c r="C82">
        <v>3.5</v>
      </c>
      <c r="D82">
        <v>1</v>
      </c>
      <c r="E82" t="s">
        <v>81</v>
      </c>
    </row>
    <row r="83" spans="1:5" x14ac:dyDescent="0.2">
      <c r="A83">
        <v>5.5</v>
      </c>
      <c r="B83">
        <v>2.4</v>
      </c>
      <c r="C83">
        <v>3.8</v>
      </c>
      <c r="D83">
        <v>1.1000000000000001</v>
      </c>
      <c r="E83" t="s">
        <v>81</v>
      </c>
    </row>
    <row r="84" spans="1:5" x14ac:dyDescent="0.2">
      <c r="A84">
        <v>5.5</v>
      </c>
      <c r="B84">
        <v>2.4</v>
      </c>
      <c r="C84">
        <v>3.7</v>
      </c>
      <c r="D84">
        <v>1</v>
      </c>
      <c r="E84" t="s">
        <v>81</v>
      </c>
    </row>
    <row r="85" spans="1:5" x14ac:dyDescent="0.2">
      <c r="A85">
        <v>5.8</v>
      </c>
      <c r="B85">
        <v>2.7</v>
      </c>
      <c r="C85">
        <v>3.9</v>
      </c>
      <c r="D85">
        <v>1.2</v>
      </c>
      <c r="E85" t="s">
        <v>81</v>
      </c>
    </row>
    <row r="86" spans="1:5" x14ac:dyDescent="0.2">
      <c r="A86">
        <v>6</v>
      </c>
      <c r="B86">
        <v>2.7</v>
      </c>
      <c r="C86">
        <v>5.0999999999999996</v>
      </c>
      <c r="D86">
        <v>1.6</v>
      </c>
      <c r="E86" t="s">
        <v>81</v>
      </c>
    </row>
    <row r="87" spans="1:5" x14ac:dyDescent="0.2">
      <c r="A87">
        <v>5.4</v>
      </c>
      <c r="B87">
        <v>3</v>
      </c>
      <c r="C87">
        <v>4.5</v>
      </c>
      <c r="D87">
        <v>1.5</v>
      </c>
      <c r="E87" t="s">
        <v>81</v>
      </c>
    </row>
    <row r="88" spans="1:5" x14ac:dyDescent="0.2">
      <c r="A88">
        <v>6</v>
      </c>
      <c r="B88">
        <v>3.4</v>
      </c>
      <c r="C88">
        <v>4.5</v>
      </c>
      <c r="D88">
        <v>1.6</v>
      </c>
      <c r="E88" t="s">
        <v>81</v>
      </c>
    </row>
    <row r="89" spans="1:5" x14ac:dyDescent="0.2">
      <c r="A89">
        <v>6.7</v>
      </c>
      <c r="B89">
        <v>3.1</v>
      </c>
      <c r="C89">
        <v>4.7</v>
      </c>
      <c r="D89">
        <v>1.5</v>
      </c>
      <c r="E89" t="s">
        <v>81</v>
      </c>
    </row>
    <row r="90" spans="1:5" x14ac:dyDescent="0.2">
      <c r="A90">
        <v>6.3</v>
      </c>
      <c r="B90">
        <v>2.2999999999999998</v>
      </c>
      <c r="C90">
        <v>4.4000000000000004</v>
      </c>
      <c r="D90">
        <v>1.3</v>
      </c>
      <c r="E90" t="s">
        <v>81</v>
      </c>
    </row>
    <row r="91" spans="1:5" x14ac:dyDescent="0.2">
      <c r="A91">
        <v>5.6</v>
      </c>
      <c r="B91">
        <v>3</v>
      </c>
      <c r="C91">
        <v>4.0999999999999996</v>
      </c>
      <c r="D91">
        <v>1.3</v>
      </c>
      <c r="E91" t="s">
        <v>81</v>
      </c>
    </row>
    <row r="92" spans="1:5" x14ac:dyDescent="0.2">
      <c r="A92">
        <v>5.5</v>
      </c>
      <c r="B92">
        <v>2.5</v>
      </c>
      <c r="C92">
        <v>4</v>
      </c>
      <c r="D92">
        <v>1.3</v>
      </c>
      <c r="E92" t="s">
        <v>81</v>
      </c>
    </row>
    <row r="93" spans="1:5" x14ac:dyDescent="0.2">
      <c r="A93">
        <v>5.5</v>
      </c>
      <c r="B93">
        <v>2.6</v>
      </c>
      <c r="C93">
        <v>4.4000000000000004</v>
      </c>
      <c r="D93">
        <v>1.2</v>
      </c>
      <c r="E93" t="s">
        <v>81</v>
      </c>
    </row>
    <row r="94" spans="1:5" x14ac:dyDescent="0.2">
      <c r="A94">
        <v>6.1</v>
      </c>
      <c r="B94">
        <v>3</v>
      </c>
      <c r="C94">
        <v>4.5999999999999996</v>
      </c>
      <c r="D94">
        <v>1.4</v>
      </c>
      <c r="E94" t="s">
        <v>81</v>
      </c>
    </row>
    <row r="95" spans="1:5" x14ac:dyDescent="0.2">
      <c r="A95">
        <v>5.8</v>
      </c>
      <c r="B95">
        <v>2.6</v>
      </c>
      <c r="C95">
        <v>4</v>
      </c>
      <c r="D95">
        <v>1.2</v>
      </c>
      <c r="E95" t="s">
        <v>81</v>
      </c>
    </row>
    <row r="96" spans="1:5" x14ac:dyDescent="0.2">
      <c r="A96">
        <v>5</v>
      </c>
      <c r="B96">
        <v>2.2999999999999998</v>
      </c>
      <c r="C96">
        <v>3.3</v>
      </c>
      <c r="D96">
        <v>1</v>
      </c>
      <c r="E96" t="s">
        <v>81</v>
      </c>
    </row>
    <row r="97" spans="1:5" x14ac:dyDescent="0.2">
      <c r="A97">
        <v>5.6</v>
      </c>
      <c r="B97">
        <v>2.7</v>
      </c>
      <c r="C97">
        <v>4.2</v>
      </c>
      <c r="D97">
        <v>1.3</v>
      </c>
      <c r="E97" t="s">
        <v>81</v>
      </c>
    </row>
    <row r="98" spans="1:5" x14ac:dyDescent="0.2">
      <c r="A98">
        <v>5.7</v>
      </c>
      <c r="B98">
        <v>3</v>
      </c>
      <c r="C98">
        <v>4.2</v>
      </c>
      <c r="D98">
        <v>1.2</v>
      </c>
      <c r="E98" t="s">
        <v>81</v>
      </c>
    </row>
    <row r="99" spans="1:5" x14ac:dyDescent="0.2">
      <c r="A99">
        <v>5.7</v>
      </c>
      <c r="B99">
        <v>2.9</v>
      </c>
      <c r="C99">
        <v>4.2</v>
      </c>
      <c r="D99">
        <v>1.3</v>
      </c>
      <c r="E99" t="s">
        <v>81</v>
      </c>
    </row>
    <row r="100" spans="1:5" x14ac:dyDescent="0.2">
      <c r="A100">
        <v>6.2</v>
      </c>
      <c r="B100">
        <v>2.9</v>
      </c>
      <c r="C100">
        <v>4.3</v>
      </c>
      <c r="D100">
        <v>1.3</v>
      </c>
      <c r="E100" t="s">
        <v>81</v>
      </c>
    </row>
    <row r="101" spans="1:5" x14ac:dyDescent="0.2">
      <c r="A101">
        <v>5.0999999999999996</v>
      </c>
      <c r="B101">
        <v>2.5</v>
      </c>
      <c r="C101">
        <v>3</v>
      </c>
      <c r="D101">
        <v>1.1000000000000001</v>
      </c>
      <c r="E101" t="s">
        <v>81</v>
      </c>
    </row>
    <row r="102" spans="1:5" x14ac:dyDescent="0.2">
      <c r="A102">
        <v>5.7</v>
      </c>
      <c r="B102">
        <v>2.8</v>
      </c>
      <c r="C102">
        <v>4.0999999999999996</v>
      </c>
      <c r="D102">
        <v>1.3</v>
      </c>
      <c r="E102" t="s">
        <v>81</v>
      </c>
    </row>
    <row r="103" spans="1:5" x14ac:dyDescent="0.2">
      <c r="A103">
        <v>6.3</v>
      </c>
      <c r="B103">
        <v>3.3</v>
      </c>
      <c r="C103">
        <v>6</v>
      </c>
      <c r="D103">
        <v>2.5</v>
      </c>
      <c r="E103" t="s">
        <v>80</v>
      </c>
    </row>
    <row r="104" spans="1:5" x14ac:dyDescent="0.2">
      <c r="A104">
        <v>5.8</v>
      </c>
      <c r="B104">
        <v>2.7</v>
      </c>
      <c r="C104">
        <v>5.0999999999999996</v>
      </c>
      <c r="D104">
        <v>1.9</v>
      </c>
      <c r="E104" t="s">
        <v>80</v>
      </c>
    </row>
    <row r="105" spans="1:5" x14ac:dyDescent="0.2">
      <c r="A105">
        <v>7.1</v>
      </c>
      <c r="B105">
        <v>3</v>
      </c>
      <c r="C105">
        <v>5.9</v>
      </c>
      <c r="D105">
        <v>2.1</v>
      </c>
      <c r="E105" t="s">
        <v>80</v>
      </c>
    </row>
    <row r="106" spans="1:5" x14ac:dyDescent="0.2">
      <c r="A106">
        <v>6.3</v>
      </c>
      <c r="B106">
        <v>2.9</v>
      </c>
      <c r="C106">
        <v>5.6</v>
      </c>
      <c r="D106">
        <v>1.8</v>
      </c>
      <c r="E106" t="s">
        <v>80</v>
      </c>
    </row>
    <row r="107" spans="1:5" x14ac:dyDescent="0.2">
      <c r="A107">
        <v>6.5</v>
      </c>
      <c r="B107">
        <v>3</v>
      </c>
      <c r="C107">
        <v>5.8</v>
      </c>
      <c r="D107">
        <v>2.2000000000000002</v>
      </c>
      <c r="E107" t="s">
        <v>80</v>
      </c>
    </row>
    <row r="108" spans="1:5" x14ac:dyDescent="0.2">
      <c r="A108">
        <v>7.6</v>
      </c>
      <c r="B108">
        <v>3</v>
      </c>
      <c r="C108">
        <v>6.6</v>
      </c>
      <c r="D108">
        <v>2.1</v>
      </c>
      <c r="E108" t="s">
        <v>80</v>
      </c>
    </row>
    <row r="109" spans="1:5" x14ac:dyDescent="0.2">
      <c r="A109">
        <v>4.9000000000000004</v>
      </c>
      <c r="B109">
        <v>2.5</v>
      </c>
      <c r="C109">
        <v>4.5</v>
      </c>
      <c r="D109">
        <v>1.7</v>
      </c>
      <c r="E109" t="s">
        <v>80</v>
      </c>
    </row>
    <row r="110" spans="1:5" x14ac:dyDescent="0.2">
      <c r="A110">
        <v>7.3</v>
      </c>
      <c r="B110">
        <v>2.9</v>
      </c>
      <c r="C110">
        <v>6.3</v>
      </c>
      <c r="D110">
        <v>1.8</v>
      </c>
      <c r="E110" t="s">
        <v>80</v>
      </c>
    </row>
    <row r="111" spans="1:5" x14ac:dyDescent="0.2">
      <c r="A111">
        <v>6.7</v>
      </c>
      <c r="B111">
        <v>2.5</v>
      </c>
      <c r="C111">
        <v>5.8</v>
      </c>
      <c r="D111">
        <v>1.8</v>
      </c>
      <c r="E111" t="s">
        <v>80</v>
      </c>
    </row>
    <row r="112" spans="1:5" x14ac:dyDescent="0.2">
      <c r="A112">
        <v>7.2</v>
      </c>
      <c r="B112">
        <v>3.6</v>
      </c>
      <c r="C112">
        <v>6.1</v>
      </c>
      <c r="D112">
        <v>2.5</v>
      </c>
      <c r="E112" t="s">
        <v>80</v>
      </c>
    </row>
    <row r="113" spans="1:5" x14ac:dyDescent="0.2">
      <c r="A113">
        <v>6.5</v>
      </c>
      <c r="B113">
        <v>3.2</v>
      </c>
      <c r="C113">
        <v>5.0999999999999996</v>
      </c>
      <c r="D113">
        <v>2</v>
      </c>
      <c r="E113" t="s">
        <v>80</v>
      </c>
    </row>
    <row r="114" spans="1:5" x14ac:dyDescent="0.2">
      <c r="A114">
        <v>6.4</v>
      </c>
      <c r="B114">
        <v>2.7</v>
      </c>
      <c r="C114">
        <v>5.3</v>
      </c>
      <c r="D114">
        <v>1.9</v>
      </c>
      <c r="E114" t="s">
        <v>80</v>
      </c>
    </row>
    <row r="115" spans="1:5" x14ac:dyDescent="0.2">
      <c r="A115">
        <v>6.8</v>
      </c>
      <c r="B115">
        <v>3</v>
      </c>
      <c r="C115">
        <v>5.5</v>
      </c>
      <c r="D115">
        <v>2.1</v>
      </c>
      <c r="E115" t="s">
        <v>80</v>
      </c>
    </row>
    <row r="116" spans="1:5" x14ac:dyDescent="0.2">
      <c r="A116">
        <v>5.7</v>
      </c>
      <c r="B116">
        <v>2.5</v>
      </c>
      <c r="C116">
        <v>5</v>
      </c>
      <c r="D116">
        <v>2</v>
      </c>
      <c r="E116" t="s">
        <v>80</v>
      </c>
    </row>
    <row r="117" spans="1:5" x14ac:dyDescent="0.2">
      <c r="A117">
        <v>5.8</v>
      </c>
      <c r="B117">
        <v>2.8</v>
      </c>
      <c r="C117">
        <v>5.0999999999999996</v>
      </c>
      <c r="D117">
        <v>2.4</v>
      </c>
      <c r="E117" t="s">
        <v>80</v>
      </c>
    </row>
    <row r="118" spans="1:5" x14ac:dyDescent="0.2">
      <c r="A118">
        <v>6.4</v>
      </c>
      <c r="B118">
        <v>3.2</v>
      </c>
      <c r="C118">
        <v>5.3</v>
      </c>
      <c r="D118">
        <v>2.2999999999999998</v>
      </c>
      <c r="E118" t="s">
        <v>80</v>
      </c>
    </row>
    <row r="119" spans="1:5" x14ac:dyDescent="0.2">
      <c r="A119">
        <v>6.5</v>
      </c>
      <c r="B119">
        <v>3</v>
      </c>
      <c r="C119">
        <v>5.5</v>
      </c>
      <c r="D119">
        <v>1.8</v>
      </c>
      <c r="E119" t="s">
        <v>80</v>
      </c>
    </row>
    <row r="120" spans="1:5" x14ac:dyDescent="0.2">
      <c r="A120">
        <v>7.7</v>
      </c>
      <c r="B120">
        <v>3.8</v>
      </c>
      <c r="C120">
        <v>6.7</v>
      </c>
      <c r="D120">
        <v>2.2000000000000002</v>
      </c>
      <c r="E120" t="s">
        <v>80</v>
      </c>
    </row>
    <row r="121" spans="1:5" x14ac:dyDescent="0.2">
      <c r="A121">
        <v>7.7</v>
      </c>
      <c r="B121">
        <v>2.6</v>
      </c>
      <c r="C121">
        <v>6.9</v>
      </c>
      <c r="D121">
        <v>2.2999999999999998</v>
      </c>
      <c r="E121" t="s">
        <v>80</v>
      </c>
    </row>
    <row r="122" spans="1:5" x14ac:dyDescent="0.2">
      <c r="A122">
        <v>6</v>
      </c>
      <c r="B122">
        <v>2.2000000000000002</v>
      </c>
      <c r="C122">
        <v>5</v>
      </c>
      <c r="D122">
        <v>1.5</v>
      </c>
      <c r="E122" t="s">
        <v>80</v>
      </c>
    </row>
    <row r="123" spans="1:5" x14ac:dyDescent="0.2">
      <c r="A123">
        <v>6.9</v>
      </c>
      <c r="B123">
        <v>3.2</v>
      </c>
      <c r="C123">
        <v>5.7</v>
      </c>
      <c r="D123">
        <v>2.2999999999999998</v>
      </c>
      <c r="E123" t="s">
        <v>80</v>
      </c>
    </row>
    <row r="124" spans="1:5" x14ac:dyDescent="0.2">
      <c r="A124">
        <v>5.6</v>
      </c>
      <c r="B124">
        <v>2.8</v>
      </c>
      <c r="C124">
        <v>4.9000000000000004</v>
      </c>
      <c r="D124">
        <v>2</v>
      </c>
      <c r="E124" t="s">
        <v>80</v>
      </c>
    </row>
    <row r="125" spans="1:5" x14ac:dyDescent="0.2">
      <c r="A125">
        <v>7.7</v>
      </c>
      <c r="B125">
        <v>2.8</v>
      </c>
      <c r="C125">
        <v>6.7</v>
      </c>
      <c r="D125">
        <v>2</v>
      </c>
      <c r="E125" t="s">
        <v>80</v>
      </c>
    </row>
    <row r="126" spans="1:5" x14ac:dyDescent="0.2">
      <c r="A126">
        <v>6.3</v>
      </c>
      <c r="B126">
        <v>2.7</v>
      </c>
      <c r="C126">
        <v>4.9000000000000004</v>
      </c>
      <c r="D126">
        <v>1.8</v>
      </c>
      <c r="E126" t="s">
        <v>80</v>
      </c>
    </row>
    <row r="127" spans="1:5" x14ac:dyDescent="0.2">
      <c r="A127">
        <v>6.7</v>
      </c>
      <c r="B127">
        <v>3.3</v>
      </c>
      <c r="C127">
        <v>5.7</v>
      </c>
      <c r="D127">
        <v>2.1</v>
      </c>
      <c r="E127" t="s">
        <v>80</v>
      </c>
    </row>
    <row r="128" spans="1:5" x14ac:dyDescent="0.2">
      <c r="A128">
        <v>7.2</v>
      </c>
      <c r="B128">
        <v>3.2</v>
      </c>
      <c r="C128">
        <v>6</v>
      </c>
      <c r="D128">
        <v>1.8</v>
      </c>
      <c r="E128" t="s">
        <v>80</v>
      </c>
    </row>
    <row r="129" spans="1:5" x14ac:dyDescent="0.2">
      <c r="A129">
        <v>6.2</v>
      </c>
      <c r="B129">
        <v>2.8</v>
      </c>
      <c r="C129">
        <v>4.8</v>
      </c>
      <c r="D129">
        <v>1.8</v>
      </c>
      <c r="E129" t="s">
        <v>80</v>
      </c>
    </row>
    <row r="130" spans="1:5" x14ac:dyDescent="0.2">
      <c r="A130">
        <v>6.1</v>
      </c>
      <c r="B130">
        <v>3</v>
      </c>
      <c r="C130">
        <v>4.9000000000000004</v>
      </c>
      <c r="D130">
        <v>1.8</v>
      </c>
      <c r="E130" t="s">
        <v>80</v>
      </c>
    </row>
    <row r="131" spans="1:5" x14ac:dyDescent="0.2">
      <c r="A131">
        <v>6.4</v>
      </c>
      <c r="B131">
        <v>2.8</v>
      </c>
      <c r="C131">
        <v>5.6</v>
      </c>
      <c r="D131">
        <v>2.1</v>
      </c>
      <c r="E131" t="s">
        <v>80</v>
      </c>
    </row>
    <row r="132" spans="1:5" x14ac:dyDescent="0.2">
      <c r="A132">
        <v>7.2</v>
      </c>
      <c r="B132">
        <v>3</v>
      </c>
      <c r="C132">
        <v>5.8</v>
      </c>
      <c r="D132">
        <v>1.6</v>
      </c>
      <c r="E132" t="s">
        <v>80</v>
      </c>
    </row>
    <row r="133" spans="1:5" x14ac:dyDescent="0.2">
      <c r="A133">
        <v>7.4</v>
      </c>
      <c r="B133">
        <v>2.8</v>
      </c>
      <c r="C133">
        <v>6.1</v>
      </c>
      <c r="D133">
        <v>1.9</v>
      </c>
      <c r="E133" t="s">
        <v>80</v>
      </c>
    </row>
    <row r="134" spans="1:5" x14ac:dyDescent="0.2">
      <c r="A134">
        <v>7.9</v>
      </c>
      <c r="B134">
        <v>3.8</v>
      </c>
      <c r="C134">
        <v>6.4</v>
      </c>
      <c r="D134">
        <v>2</v>
      </c>
      <c r="E134" t="s">
        <v>80</v>
      </c>
    </row>
    <row r="135" spans="1:5" x14ac:dyDescent="0.2">
      <c r="A135">
        <v>6.4</v>
      </c>
      <c r="B135">
        <v>2.8</v>
      </c>
      <c r="C135">
        <v>5.6</v>
      </c>
      <c r="D135">
        <v>2.2000000000000002</v>
      </c>
      <c r="E135" t="s">
        <v>80</v>
      </c>
    </row>
    <row r="136" spans="1:5" x14ac:dyDescent="0.2">
      <c r="A136">
        <v>6.3</v>
      </c>
      <c r="B136">
        <v>2.8</v>
      </c>
      <c r="C136">
        <v>5.0999999999999996</v>
      </c>
      <c r="D136">
        <v>1.5</v>
      </c>
      <c r="E136" t="s">
        <v>80</v>
      </c>
    </row>
    <row r="137" spans="1:5" x14ac:dyDescent="0.2">
      <c r="A137">
        <v>6.1</v>
      </c>
      <c r="B137">
        <v>2.6</v>
      </c>
      <c r="C137">
        <v>5.6</v>
      </c>
      <c r="D137">
        <v>1.4</v>
      </c>
      <c r="E137" t="s">
        <v>80</v>
      </c>
    </row>
    <row r="138" spans="1:5" x14ac:dyDescent="0.2">
      <c r="A138">
        <v>7.7</v>
      </c>
      <c r="B138">
        <v>3</v>
      </c>
      <c r="C138">
        <v>6.1</v>
      </c>
      <c r="D138">
        <v>2.2999999999999998</v>
      </c>
      <c r="E138" t="s">
        <v>80</v>
      </c>
    </row>
    <row r="139" spans="1:5" x14ac:dyDescent="0.2">
      <c r="A139">
        <v>6.3</v>
      </c>
      <c r="B139">
        <v>3.4</v>
      </c>
      <c r="C139">
        <v>5.6</v>
      </c>
      <c r="D139">
        <v>2.4</v>
      </c>
      <c r="E139" t="s">
        <v>80</v>
      </c>
    </row>
    <row r="140" spans="1:5" x14ac:dyDescent="0.2">
      <c r="A140">
        <v>6.4</v>
      </c>
      <c r="B140">
        <v>3.1</v>
      </c>
      <c r="C140">
        <v>5.5</v>
      </c>
      <c r="D140">
        <v>1.8</v>
      </c>
      <c r="E140" t="s">
        <v>80</v>
      </c>
    </row>
    <row r="141" spans="1:5" x14ac:dyDescent="0.2">
      <c r="A141">
        <v>6</v>
      </c>
      <c r="B141">
        <v>3</v>
      </c>
      <c r="C141">
        <v>4.8</v>
      </c>
      <c r="D141">
        <v>1.8</v>
      </c>
      <c r="E141" t="s">
        <v>80</v>
      </c>
    </row>
    <row r="142" spans="1:5" x14ac:dyDescent="0.2">
      <c r="A142">
        <v>6.9</v>
      </c>
      <c r="B142">
        <v>3.1</v>
      </c>
      <c r="C142">
        <v>5.4</v>
      </c>
      <c r="D142">
        <v>2.1</v>
      </c>
      <c r="E142" t="s">
        <v>80</v>
      </c>
    </row>
    <row r="143" spans="1:5" x14ac:dyDescent="0.2">
      <c r="A143">
        <v>6.7</v>
      </c>
      <c r="B143">
        <v>3.1</v>
      </c>
      <c r="C143">
        <v>5.6</v>
      </c>
      <c r="D143">
        <v>2.4</v>
      </c>
      <c r="E143" t="s">
        <v>80</v>
      </c>
    </row>
    <row r="144" spans="1:5" x14ac:dyDescent="0.2">
      <c r="A144">
        <v>6.9</v>
      </c>
      <c r="B144">
        <v>3.1</v>
      </c>
      <c r="C144">
        <v>5.0999999999999996</v>
      </c>
      <c r="D144">
        <v>2.2999999999999998</v>
      </c>
      <c r="E144" t="s">
        <v>80</v>
      </c>
    </row>
    <row r="145" spans="1:5" x14ac:dyDescent="0.2">
      <c r="A145">
        <v>5.8</v>
      </c>
      <c r="B145">
        <v>2.7</v>
      </c>
      <c r="C145">
        <v>5.0999999999999996</v>
      </c>
      <c r="D145">
        <v>1.9</v>
      </c>
      <c r="E145" t="s">
        <v>80</v>
      </c>
    </row>
    <row r="146" spans="1:5" x14ac:dyDescent="0.2">
      <c r="A146">
        <v>6.8</v>
      </c>
      <c r="B146">
        <v>3.2</v>
      </c>
      <c r="C146">
        <v>5.9</v>
      </c>
      <c r="D146">
        <v>2.2999999999999998</v>
      </c>
      <c r="E146" t="s">
        <v>80</v>
      </c>
    </row>
    <row r="147" spans="1:5" x14ac:dyDescent="0.2">
      <c r="A147">
        <v>6.7</v>
      </c>
      <c r="B147">
        <v>3.3</v>
      </c>
      <c r="C147">
        <v>5.7</v>
      </c>
      <c r="D147">
        <v>2.5</v>
      </c>
      <c r="E147" t="s">
        <v>80</v>
      </c>
    </row>
    <row r="148" spans="1:5" x14ac:dyDescent="0.2">
      <c r="A148">
        <v>6.7</v>
      </c>
      <c r="B148">
        <v>3</v>
      </c>
      <c r="C148">
        <v>5.2</v>
      </c>
      <c r="D148">
        <v>2.2999999999999998</v>
      </c>
      <c r="E148" t="s">
        <v>80</v>
      </c>
    </row>
    <row r="149" spans="1:5" x14ac:dyDescent="0.2">
      <c r="A149">
        <v>6.3</v>
      </c>
      <c r="B149">
        <v>2.5</v>
      </c>
      <c r="C149">
        <v>5</v>
      </c>
      <c r="D149">
        <v>1.9</v>
      </c>
      <c r="E149" t="s">
        <v>80</v>
      </c>
    </row>
    <row r="150" spans="1:5" x14ac:dyDescent="0.2">
      <c r="A150">
        <v>6.5</v>
      </c>
      <c r="B150">
        <v>3</v>
      </c>
      <c r="C150">
        <v>5.2</v>
      </c>
      <c r="D150">
        <v>2</v>
      </c>
      <c r="E150" t="s">
        <v>80</v>
      </c>
    </row>
    <row r="151" spans="1:5" x14ac:dyDescent="0.2">
      <c r="A151">
        <v>6.2</v>
      </c>
      <c r="B151">
        <v>3.4</v>
      </c>
      <c r="C151">
        <v>5.4</v>
      </c>
      <c r="D151">
        <v>2.2999999999999998</v>
      </c>
      <c r="E151" t="s">
        <v>80</v>
      </c>
    </row>
    <row r="152" spans="1:5" x14ac:dyDescent="0.2">
      <c r="A152">
        <v>5.9</v>
      </c>
      <c r="B152">
        <v>3</v>
      </c>
      <c r="C152">
        <v>5.0999999999999996</v>
      </c>
      <c r="D152">
        <v>1.8</v>
      </c>
      <c r="E152" t="s">
        <v>80</v>
      </c>
    </row>
    <row r="154" spans="1:5" x14ac:dyDescent="0.2">
      <c r="A154" s="12" t="s">
        <v>79</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Treasury Example (No Math)</vt:lpstr>
      <vt:lpstr>Treasury Example (with Math)</vt:lpstr>
      <vt:lpstr>Match Index</vt:lpstr>
      <vt:lpstr>Sheet1</vt:lpstr>
      <vt:lpstr>Python 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mmoore</dc:creator>
  <cp:lastModifiedBy>Taylor Daniels</cp:lastModifiedBy>
  <dcterms:created xsi:type="dcterms:W3CDTF">2023-07-05T19:43:36Z</dcterms:created>
  <dcterms:modified xsi:type="dcterms:W3CDTF">2026-09-06T23:39:13Z</dcterms:modified>
</cp:coreProperties>
</file>